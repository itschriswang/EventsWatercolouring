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Model" sheetId="1" state="visible" r:id="rId3"/>
    <sheet name="Packages" sheetId="2" state="visible" r:id="rId4"/>
    <sheet name="Benchmarks" sheetId="3" state="visible" r:id="rId5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<sst xmlns="http://schemas.openxmlformats.org/spreadsheetml/2006/main" count="178" uniqueCount="158">
  <si>
    <t xml:space="preserve">Live wedding watercolour — cost &amp; pricing model</t>
  </si>
  <si>
    <t xml:space="preserve">A5 cotton-rag guest keepsakes · painted live · capped per night · Sydney · AUD, excl GST</t>
  </si>
  <si>
    <t xml:space="preserve">Blue cells are mine to change. Black cells are calculated. Everything is painted live; I do not post overflow afterward, so I sell a number I can comfortably hit.</t>
  </si>
  <si>
    <t xml:space="preserve">TIME &amp; THROUGHPUT</t>
  </si>
  <si>
    <t xml:space="preserve">Reception painting hours</t>
  </si>
  <si>
    <t xml:space="preserve">Setup + pack-down (hours)</t>
  </si>
  <si>
    <t xml:space="preserve">Finished pieces per painting hour</t>
  </si>
  <si>
    <t xml:space="preserve">Watercolour A5 of 1–4 guests. Benchmarks ~4–6/hr. My real ceiling.</t>
  </si>
  <si>
    <t xml:space="preserve">Studio touch-up per piece (minutes)</t>
  </si>
  <si>
    <t xml:space="preserve">Light finishing only, since everything is done on the night.</t>
  </si>
  <si>
    <t xml:space="preserve">Consultation + admin per wedding (hours)</t>
  </si>
  <si>
    <t xml:space="preserve">Travel time, round trip (hours)</t>
  </si>
  <si>
    <t xml:space="preserve">Theoretical max pieces (hours × pace)</t>
  </si>
  <si>
    <t xml:space="preserve">Pieces I commit to (the cap I sell)</t>
  </si>
  <si>
    <t xml:space="preserve">Set below the max so a slow patch never breaks the promise. This drives my costs and price.</t>
  </si>
  <si>
    <t xml:space="preserve">Average guests per piece</t>
  </si>
  <si>
    <t xml:space="preserve">Group shots of 1–4; 2 is a fair average.</t>
  </si>
  <si>
    <t xml:space="preserve">Guests covered, approx</t>
  </si>
  <si>
    <t xml:space="preserve">A chosen subset of the room, not everyone. The honest number to quote couples.</t>
  </si>
  <si>
    <t xml:space="preserve">Studio touch-up hours</t>
  </si>
  <si>
    <t xml:space="preserve">Total engaged hours per wedding</t>
  </si>
  <si>
    <t xml:space="preserve">MATERIALS PER PIECE</t>
  </si>
  <si>
    <t xml:space="preserve">A5 cotton-rag sheet</t>
  </si>
  <si>
    <t xml:space="preserve">Per A5 once I cut full sheets. Update after a batch.</t>
  </si>
  <si>
    <t xml:space="preserve">Paint + incidentals</t>
  </si>
  <si>
    <t xml:space="preserve">Clear sleeve + backing board</t>
  </si>
  <si>
    <t xml:space="preserve">Branded mount / folder</t>
  </si>
  <si>
    <t xml:space="preserve">Materials per piece</t>
  </si>
  <si>
    <t xml:space="preserve">Spare prepped sheets (%)</t>
  </si>
  <si>
    <t xml:space="preserve">Paper I prep and may not use; covers mistakes and a couple of extras.</t>
  </si>
  <si>
    <t xml:space="preserve">PER-WEDDING COSTS</t>
  </si>
  <si>
    <t xml:space="preserve">Couple keepsake piece — framing</t>
  </si>
  <si>
    <t xml:space="preserve">Travel cost (fuel / tolls / parking)</t>
  </si>
  <si>
    <t xml:space="preserve">Use an assistant?</t>
  </si>
  <si>
    <t xml:space="preserve">No</t>
  </si>
  <si>
    <t xml:space="preserve">An assistant on photos + queue + sleeving lets me push the cap up on bigger nights.</t>
  </si>
  <si>
    <t xml:space="preserve">Assistant fee (if used)</t>
  </si>
  <si>
    <t xml:space="preserve">Assistant cost applied</t>
  </si>
  <si>
    <t xml:space="preserve">Public liability insurance (per event)</t>
  </si>
  <si>
    <t xml:space="preserve">Marketing / Instagram (amortised)</t>
  </si>
  <si>
    <t xml:space="preserve">Misc admin + consumables</t>
  </si>
  <si>
    <t xml:space="preserve">Booking / card fees (% of price)</t>
  </si>
  <si>
    <t xml:space="preserve">PRICE I'M TESTING</t>
  </si>
  <si>
    <t xml:space="preserve">Package price to couple</t>
  </si>
  <si>
    <t xml:space="preserve">Set this, read margin and hourly below. Compare tiers on the Packages tab.</t>
  </si>
  <si>
    <t xml:space="preserve">MY TARGETS</t>
  </si>
  <si>
    <t xml:space="preserve">Target effective hourly rate</t>
  </si>
  <si>
    <t xml:space="preserve">Target gross margin</t>
  </si>
  <si>
    <t xml:space="preserve">RESULTS</t>
  </si>
  <si>
    <t xml:space="preserve">Total materials (committed + spares)</t>
  </si>
  <si>
    <t xml:space="preserve">Couple keepsake framing</t>
  </si>
  <si>
    <t xml:space="preserve">Travel</t>
  </si>
  <si>
    <t xml:space="preserve">Assistant</t>
  </si>
  <si>
    <t xml:space="preserve">Insurance</t>
  </si>
  <si>
    <t xml:space="preserve">Marketing (amortised)</t>
  </si>
  <si>
    <t xml:space="preserve">Misc admin</t>
  </si>
  <si>
    <t xml:space="preserve">Booking / card fees</t>
  </si>
  <si>
    <t xml:space="preserve">Total cost per wedding</t>
  </si>
  <si>
    <t xml:space="preserve">Revenue (package price)</t>
  </si>
  <si>
    <t xml:space="preserve">Gross profit</t>
  </si>
  <si>
    <t xml:space="preserve">Gross margin</t>
  </si>
  <si>
    <t xml:space="preserve">Effective hourly (profit ÷ engaged hrs)</t>
  </si>
  <si>
    <t xml:space="preserve">Revenue per piece (committed)</t>
  </si>
  <si>
    <t xml:space="preserve">Fully-loaded cost per piece</t>
  </si>
  <si>
    <t xml:space="preserve">WHAT I SHOULD CHARGE</t>
  </si>
  <si>
    <t xml:space="preserve">Price to hit target hourly</t>
  </si>
  <si>
    <t xml:space="preserve">Price to hit target margin</t>
  </si>
  <si>
    <t xml:space="preserve">Recommended standing price</t>
  </si>
  <si>
    <t xml:space="preserve">The cost floor. Market and scarcity let me sit well above it.</t>
  </si>
  <si>
    <t xml:space="preserve">My packages — capped, all live</t>
  </si>
  <si>
    <t xml:space="preserve">Three tiers by how many pieces I commit to paint on the night. Same cost base as the Model tab; I set price, hours, pace, cap and assistant per column.</t>
  </si>
  <si>
    <t xml:space="preserve">Intimate</t>
  </si>
  <si>
    <t xml:space="preserve">Full reception</t>
  </si>
  <si>
    <t xml:space="preserve">Large (assistant)</t>
  </si>
  <si>
    <t xml:space="preserve">Package price (set this)</t>
  </si>
  <si>
    <t xml:space="preserve">Pieces per painting hour</t>
  </si>
  <si>
    <t xml:space="preserve">Pieces I commit to (cap)</t>
  </si>
  <si>
    <t xml:space="preserve">Assistant on this tier?</t>
  </si>
  <si>
    <t xml:space="preserve">Yes</t>
  </si>
  <si>
    <t xml:space="preserve">Total engaged hours</t>
  </si>
  <si>
    <t xml:space="preserve">Materials (committed + spares)</t>
  </si>
  <si>
    <t xml:space="preserve">Assistant cost</t>
  </si>
  <si>
    <t xml:space="preserve">Other per-wedding costs (excl fees)</t>
  </si>
  <si>
    <t xml:space="preserve">Effective hourly rate</t>
  </si>
  <si>
    <t xml:space="preserve">Revenue per piece</t>
  </si>
  <si>
    <t xml:space="preserve">Price per guest covered</t>
  </si>
  <si>
    <t xml:space="preserve">Guests covered is a subset I quote honestly. Priority tokens for the couple's closest people keep the queue fair once I hit the cap.</t>
  </si>
  <si>
    <t xml:space="preserve">Green = clears target · Amber = close · Red = below floor. Targets live on the Model tab.</t>
  </si>
  <si>
    <t xml:space="preserve">Market benchmarks I pulled (June 2026)</t>
  </si>
  <si>
    <t xml:space="preserve">Live event painting and guest-portrait pricing. As advertised; most exclude travel.</t>
  </si>
  <si>
    <t xml:space="preserve">Artist / source</t>
  </si>
  <si>
    <t xml:space="preserve">Market</t>
  </si>
  <si>
    <t xml:space="preserve">Format</t>
  </si>
  <si>
    <t xml:space="preserve">Price (advertised)</t>
  </si>
  <si>
    <t xml:space="preserve">Throughput</t>
  </si>
  <si>
    <t xml:space="preserve">Source</t>
  </si>
  <si>
    <t xml:space="preserve">Golden Rose Creative</t>
  </si>
  <si>
    <t xml:space="preserve">Northern NSW</t>
  </si>
  <si>
    <t xml:space="preserve">A5 watercolour guest portraits</t>
  </si>
  <si>
    <t xml:space="preserve">Custom quote</t>
  </si>
  <si>
    <t xml:space="preserve">5 couples (10 guests)/hr; up to 40 guests in 4 hrs</t>
  </si>
  <si>
    <t xml:space="preserve">goldenrosecreative.co</t>
  </si>
  <si>
    <t xml:space="preserve">Christine Pan</t>
  </si>
  <si>
    <t xml:space="preserve">Sydney</t>
  </si>
  <si>
    <t xml:space="preserve">A5–A4 live illustration</t>
  </si>
  <si>
    <t xml:space="preserve">From $1,245 (intro)</t>
  </si>
  <si>
    <t xml:space="preserve">Studio finish for overflow</t>
  </si>
  <si>
    <t xml:space="preserve">christinepan.com.au</t>
  </si>
  <si>
    <t xml:space="preserve">Grace Choi</t>
  </si>
  <si>
    <t xml:space="preserve">Live guest portraits</t>
  </si>
  <si>
    <t xml:space="preserve">From $2,500; range $1,200–$6,000</t>
  </si>
  <si>
    <t xml:space="preserve">~12–15 illustrations/hr (line)</t>
  </si>
  <si>
    <t xml:space="preserve">gracechoiartist.com</t>
  </si>
  <si>
    <t xml:space="preserve">Let Me Draw You</t>
  </si>
  <si>
    <t xml:space="preserve">Live guest illustration</t>
  </si>
  <si>
    <t xml:space="preserve">From $600 / 3 hrs</t>
  </si>
  <si>
    <t xml:space="preserve">~5–7 min per portrait</t>
  </si>
  <si>
    <t xml:space="preserve">letmedrawyou.com</t>
  </si>
  <si>
    <t xml:space="preserve">Lisa Catanea</t>
  </si>
  <si>
    <t xml:space="preserve">Live illustration + A4 couple piece</t>
  </si>
  <si>
    <t xml:space="preserve">From $1,400</t>
  </si>
  <si>
    <t xml:space="preserve">Hourly available</t>
  </si>
  <si>
    <t xml:space="preserve">lisacatanea.com.au</t>
  </si>
  <si>
    <t xml:space="preserve">Wedding Guest Portraits</t>
  </si>
  <si>
    <t xml:space="preserve">$1,000 half / $2,000 full day</t>
  </si>
  <si>
    <t xml:space="preserve">4 hr / 8 hr</t>
  </si>
  <si>
    <t xml:space="preserve">weddingguestportraits.com.au</t>
  </si>
  <si>
    <t xml:space="preserve">Painted Favours</t>
  </si>
  <si>
    <t xml:space="preserve">Canvas + guest illustrations</t>
  </si>
  <si>
    <t xml:space="preserve">60+ pieces a night with assistant</t>
  </si>
  <si>
    <t xml:space="preserve">paintedfavours.com.au</t>
  </si>
  <si>
    <t xml:space="preserve">IAmPoppy Designs</t>
  </si>
  <si>
    <t xml:space="preserve">Sydney/national</t>
  </si>
  <si>
    <t xml:space="preserve">Watercolour or acrylic canvas</t>
  </si>
  <si>
    <t xml:space="preserve">Package, framing incl.</t>
  </si>
  <si>
    <t xml:space="preserve">6–8 hrs live + 6–12 hrs studio</t>
  </si>
  <si>
    <t xml:space="preserve">iampoppy.com</t>
  </si>
  <si>
    <t xml:space="preserve">Aust. market (survey blog)</t>
  </si>
  <si>
    <t xml:space="preserve">Australia</t>
  </si>
  <si>
    <t xml:space="preserve">Live painting (canvas)</t>
  </si>
  <si>
    <t xml:space="preserve">Avg $2,500–$5,000; ~$500–$700/hr</t>
  </si>
  <si>
    <t xml:space="preserve">—</t>
  </si>
  <si>
    <t xml:space="preserve">elenavalerie.com.au</t>
  </si>
  <si>
    <t xml:space="preserve">weddingillustrator.co.uk</t>
  </si>
  <si>
    <t xml:space="preserve">UK</t>
  </si>
  <si>
    <t xml:space="preserve">Package (multi-hr)</t>
  </si>
  <si>
    <t xml:space="preserve">8 singles / 5 couples / 2–3 families per hr</t>
  </si>
  <si>
    <t xml:space="preserve">Arty at Heart</t>
  </si>
  <si>
    <t xml:space="preserve">A5–A4 watercolour, groups up to 4</t>
  </si>
  <si>
    <t xml:space="preserve">+£100/hr over 5-hr base</t>
  </si>
  <si>
    <t xml:space="preserve">4–5 pieces/hr</t>
  </si>
  <si>
    <t xml:space="preserve">artyatheartillustrations.com</t>
  </si>
  <si>
    <t xml:space="preserve">US market (survey blogs)</t>
  </si>
  <si>
    <t xml:space="preserve">USA</t>
  </si>
  <si>
    <t xml:space="preserve">$2,000–$10,000; median ~$2,500</t>
  </si>
  <si>
    <t xml:space="preserve">3–4 hrs on site + studio</t>
  </si>
  <si>
    <t xml:space="preserve">paintmyweddingday.com; benkeys.com</t>
  </si>
  <si>
    <t xml:space="preserve">Note: 'illustration' usually means fast line work (12–15/hr). Watercolour of 1–4 guests is slower and more premium, which is where my capped A5 pieces sit.</t>
  </si>
</sst>
</file>

<file path=xl/styles.xml><?xml version="1.0" encoding="utf-8"?>
<styleSheet xmlns="http://schemas.openxmlformats.org/spreadsheetml/2006/main">
  <numFmts count="7">
    <numFmt numFmtId="164" formatCode="General"/>
    <numFmt numFmtId="165" formatCode="0.0"/>
    <numFmt numFmtId="166" formatCode="0"/>
    <numFmt numFmtId="167" formatCode="\$#,##0.00"/>
    <numFmt numFmtId="168" formatCode="0.0%"/>
    <numFmt numFmtId="169" formatCode="\$#,##0"/>
    <numFmt numFmtId="170" formatCode="@"/>
  </numFmts>
  <fonts count="15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5"/>
      <color rgb="FF1F2937"/>
      <name val="Arial"/>
      <family val="0"/>
      <charset val="1"/>
    </font>
    <font>
      <i val="true"/>
      <sz val="10"/>
      <color rgb="FF6B7280"/>
      <name val="Arial"/>
      <family val="0"/>
      <charset val="1"/>
    </font>
    <font>
      <i val="true"/>
      <sz val="9"/>
      <color rgb="FF6B7280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sz val="10"/>
      <color rgb="FF111827"/>
      <name val="Arial"/>
      <family val="0"/>
      <charset val="1"/>
    </font>
    <font>
      <sz val="11"/>
      <color rgb="FF0000FF"/>
      <name val="Arial"/>
      <family val="0"/>
      <charset val="1"/>
    </font>
    <font>
      <b val="true"/>
      <sz val="10"/>
      <color rgb="FF111827"/>
      <name val="Arial"/>
      <family val="0"/>
      <charset val="1"/>
    </font>
    <font>
      <b val="true"/>
      <sz val="11"/>
      <color rgb="FF000000"/>
      <name val="Arial"/>
      <family val="0"/>
      <charset val="1"/>
    </font>
    <font>
      <sz val="11"/>
      <color rgb="FF000000"/>
      <name val="Arial"/>
      <family val="0"/>
      <charset val="1"/>
    </font>
    <font>
      <sz val="11"/>
      <color rgb="FF008000"/>
      <name val="Arial"/>
      <family val="0"/>
      <charset val="1"/>
    </font>
    <font>
      <sz val="9"/>
      <color rgb="FF111827"/>
      <name val="Arial"/>
      <family val="0"/>
      <charset val="1"/>
    </font>
  </fonts>
  <fills count="6">
    <fill>
      <patternFill patternType="none"/>
    </fill>
    <fill>
      <patternFill patternType="gray125"/>
    </fill>
    <fill>
      <patternFill patternType="solid">
        <fgColor rgb="FF334155"/>
        <bgColor rgb="FF1F2937"/>
      </patternFill>
    </fill>
    <fill>
      <patternFill patternType="solid">
        <fgColor rgb="FFEFF6FF"/>
        <bgColor rgb="FFFFFFFF"/>
      </patternFill>
    </fill>
    <fill>
      <patternFill patternType="solid">
        <fgColor rgb="FFFFF3BF"/>
        <bgColor rgb="FFFFEB9C"/>
      </patternFill>
    </fill>
    <fill>
      <patternFill patternType="solid">
        <fgColor rgb="FFDCFCE7"/>
        <bgColor rgb="FFEFF6FF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D1D5DB"/>
      </left>
      <right style="thin">
        <color rgb="FFD1D5DB"/>
      </right>
      <top style="thin">
        <color rgb="FFD1D5DB"/>
      </top>
      <bottom style="thin">
        <color rgb="FFD1D5DB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2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9" fillId="3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5" fontId="9" fillId="4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6" fontId="9" fillId="3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11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6" fontId="9" fillId="4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5" fontId="12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5" fontId="11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7" fontId="9" fillId="3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7" fontId="11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8" fontId="9" fillId="3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9" fontId="9" fillId="3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70" fontId="9" fillId="3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9" fontId="11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9" fontId="9" fillId="4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9" fontId="12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8" fontId="11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7" fontId="12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9" fontId="11" fillId="5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4" fontId="0" fillId="2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2" borderId="0" xfId="0" applyFont="true" applyBorder="false" applyAlignment="true" applyProtection="false">
      <alignment horizontal="center" vertical="bottom" textRotation="0" wrapText="true" indent="0" shrinkToFit="false"/>
      <protection locked="true" hidden="false"/>
    </xf>
    <xf numFmtId="165" fontId="13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9" fontId="13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4" fontId="7" fillId="2" borderId="0" xfId="0" applyFont="true" applyBorder="false" applyAlignment="true" applyProtection="false">
      <alignment horizontal="left" vertical="center" textRotation="0" wrapText="true" indent="0" shrinkToFit="false"/>
      <protection locked="true" hidden="false"/>
    </xf>
    <xf numFmtId="164" fontId="14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3">
    <dxf>
      <fill>
        <patternFill>
          <bgColor rgb="FFC6EFCE"/>
        </patternFill>
      </fill>
    </dxf>
    <dxf>
      <fill>
        <patternFill>
          <bgColor rgb="FFFFEB9C"/>
        </patternFill>
      </fill>
    </dxf>
    <dxf>
      <fill>
        <patternFill>
          <bgColor rgb="FFFFC7CE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3BF"/>
      <rgbColor rgb="FFDCFCE7"/>
      <rgbColor rgb="FF660066"/>
      <rgbColor rgb="FFFF8080"/>
      <rgbColor rgb="FF0066CC"/>
      <rgbColor rgb="FFD1D5DB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EFF6FF"/>
      <rgbColor rgb="FFC6EFCE"/>
      <rgbColor rgb="FFFFEB9C"/>
      <rgbColor rgb="FF99CCFF"/>
      <rgbColor rgb="FFFF99CC"/>
      <rgbColor rgb="FFCC99FF"/>
      <rgbColor rgb="FFFFC7CE"/>
      <rgbColor rgb="FF3366FF"/>
      <rgbColor rgb="FF33CCCC"/>
      <rgbColor rgb="FF99CC00"/>
      <rgbColor rgb="FFFFCC00"/>
      <rgbColor rgb="FFFF9900"/>
      <rgbColor rgb="FFFF6600"/>
      <rgbColor rgb="FF6B7280"/>
      <rgbColor rgb="FF969696"/>
      <rgbColor rgb="FF003366"/>
      <rgbColor rgb="FF339966"/>
      <rgbColor rgb="FF111827"/>
      <rgbColor rgb="FF333300"/>
      <rgbColor rgb="FF993300"/>
      <rgbColor rgb="FF993366"/>
      <rgbColor rgb="FF334155"/>
      <rgbColor rgb="FF1F2937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67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2"/>
    <col collapsed="false" customWidth="true" hidden="false" outlineLevel="0" max="2" min="2" style="0" width="14"/>
    <col collapsed="false" customWidth="true" hidden="false" outlineLevel="0" max="3" min="3" style="0" width="64"/>
  </cols>
  <sheetData>
    <row r="1" customFormat="false" ht="18.55" hidden="false" customHeight="false" outlineLevel="0" collapsed="false">
      <c r="A1" s="1" t="s">
        <v>0</v>
      </c>
    </row>
    <row r="2" customFormat="false" ht="15" hidden="false" customHeight="false" outlineLevel="0" collapsed="false">
      <c r="A2" s="2" t="s">
        <v>1</v>
      </c>
    </row>
    <row r="3" customFormat="false" ht="15" hidden="false" customHeight="false" outlineLevel="0" collapsed="false">
      <c r="A3" s="3" t="s">
        <v>2</v>
      </c>
    </row>
    <row r="5" customFormat="false" ht="15" hidden="false" customHeight="false" outlineLevel="0" collapsed="false">
      <c r="A5" s="4" t="s">
        <v>3</v>
      </c>
      <c r="B5" s="4"/>
      <c r="C5" s="4"/>
    </row>
    <row r="6" customFormat="false" ht="15" hidden="false" customHeight="false" outlineLevel="0" collapsed="false">
      <c r="A6" s="5" t="s">
        <v>4</v>
      </c>
      <c r="B6" s="6" t="n">
        <v>5</v>
      </c>
    </row>
    <row r="7" customFormat="false" ht="15" hidden="false" customHeight="false" outlineLevel="0" collapsed="false">
      <c r="A7" s="5" t="s">
        <v>5</v>
      </c>
      <c r="B7" s="6" t="n">
        <v>1</v>
      </c>
    </row>
    <row r="8" customFormat="false" ht="15" hidden="false" customHeight="false" outlineLevel="0" collapsed="false">
      <c r="A8" s="5" t="s">
        <v>6</v>
      </c>
      <c r="B8" s="7" t="n">
        <v>4.5</v>
      </c>
      <c r="C8" s="3" t="s">
        <v>7</v>
      </c>
    </row>
    <row r="9" customFormat="false" ht="15" hidden="false" customHeight="false" outlineLevel="0" collapsed="false">
      <c r="A9" s="5" t="s">
        <v>8</v>
      </c>
      <c r="B9" s="8" t="n">
        <v>8</v>
      </c>
      <c r="C9" s="3" t="s">
        <v>9</v>
      </c>
    </row>
    <row r="10" customFormat="false" ht="15" hidden="false" customHeight="false" outlineLevel="0" collapsed="false">
      <c r="A10" s="5" t="s">
        <v>10</v>
      </c>
      <c r="B10" s="6" t="n">
        <v>3</v>
      </c>
    </row>
    <row r="11" customFormat="false" ht="15" hidden="false" customHeight="false" outlineLevel="0" collapsed="false">
      <c r="A11" s="5" t="s">
        <v>11</v>
      </c>
      <c r="B11" s="6" t="n">
        <v>1.5</v>
      </c>
    </row>
    <row r="13" customFormat="false" ht="15" hidden="false" customHeight="false" outlineLevel="0" collapsed="false">
      <c r="A13" s="9" t="s">
        <v>12</v>
      </c>
      <c r="B13" s="10" t="n">
        <f aca="false">B6*B8</f>
        <v>22.5</v>
      </c>
    </row>
    <row r="14" customFormat="false" ht="15" hidden="false" customHeight="false" outlineLevel="0" collapsed="false">
      <c r="A14" s="5" t="s">
        <v>13</v>
      </c>
      <c r="B14" s="11" t="n">
        <v>20</v>
      </c>
      <c r="C14" s="3" t="s">
        <v>14</v>
      </c>
    </row>
    <row r="15" customFormat="false" ht="15" hidden="false" customHeight="false" outlineLevel="0" collapsed="false">
      <c r="A15" s="5" t="s">
        <v>15</v>
      </c>
      <c r="B15" s="6" t="n">
        <v>2</v>
      </c>
      <c r="C15" s="3" t="s">
        <v>16</v>
      </c>
    </row>
    <row r="16" customFormat="false" ht="15" hidden="false" customHeight="false" outlineLevel="0" collapsed="false">
      <c r="A16" s="9" t="s">
        <v>17</v>
      </c>
      <c r="B16" s="10" t="n">
        <f aca="false">B14*B15</f>
        <v>40</v>
      </c>
      <c r="C16" s="3" t="s">
        <v>18</v>
      </c>
    </row>
    <row r="17" customFormat="false" ht="15" hidden="false" customHeight="false" outlineLevel="0" collapsed="false">
      <c r="A17" s="5" t="s">
        <v>19</v>
      </c>
      <c r="B17" s="12" t="n">
        <f aca="false">B14*B9/60</f>
        <v>2.66666666666667</v>
      </c>
    </row>
    <row r="18" customFormat="false" ht="15" hidden="false" customHeight="false" outlineLevel="0" collapsed="false">
      <c r="A18" s="9" t="s">
        <v>20</v>
      </c>
      <c r="B18" s="13" t="n">
        <f aca="false">B6+B7+B17+B10+B11</f>
        <v>13.1666666666667</v>
      </c>
    </row>
    <row r="20" customFormat="false" ht="15" hidden="false" customHeight="false" outlineLevel="0" collapsed="false">
      <c r="A20" s="4" t="s">
        <v>21</v>
      </c>
      <c r="B20" s="4"/>
      <c r="C20" s="4"/>
    </row>
    <row r="21" customFormat="false" ht="15" hidden="false" customHeight="false" outlineLevel="0" collapsed="false">
      <c r="A21" s="5" t="s">
        <v>22</v>
      </c>
      <c r="B21" s="14" t="n">
        <v>2.5</v>
      </c>
      <c r="C21" s="3" t="s">
        <v>23</v>
      </c>
    </row>
    <row r="22" customFormat="false" ht="15" hidden="false" customHeight="false" outlineLevel="0" collapsed="false">
      <c r="A22" s="5" t="s">
        <v>24</v>
      </c>
      <c r="B22" s="14" t="n">
        <v>0.8</v>
      </c>
    </row>
    <row r="23" customFormat="false" ht="15" hidden="false" customHeight="false" outlineLevel="0" collapsed="false">
      <c r="A23" s="5" t="s">
        <v>25</v>
      </c>
      <c r="B23" s="14" t="n">
        <v>1.2</v>
      </c>
    </row>
    <row r="24" customFormat="false" ht="15" hidden="false" customHeight="false" outlineLevel="0" collapsed="false">
      <c r="A24" s="5" t="s">
        <v>26</v>
      </c>
      <c r="B24" s="14" t="n">
        <v>1.5</v>
      </c>
    </row>
    <row r="25" customFormat="false" ht="15" hidden="false" customHeight="false" outlineLevel="0" collapsed="false">
      <c r="A25" s="9" t="s">
        <v>27</v>
      </c>
      <c r="B25" s="15" t="n">
        <f aca="false">SUM(B21:B24)</f>
        <v>6</v>
      </c>
    </row>
    <row r="26" customFormat="false" ht="15" hidden="false" customHeight="false" outlineLevel="0" collapsed="false">
      <c r="A26" s="5" t="s">
        <v>28</v>
      </c>
      <c r="B26" s="16" t="n">
        <v>0.1</v>
      </c>
      <c r="C26" s="3" t="s">
        <v>29</v>
      </c>
    </row>
    <row r="28" customFormat="false" ht="15" hidden="false" customHeight="false" outlineLevel="0" collapsed="false">
      <c r="A28" s="4" t="s">
        <v>30</v>
      </c>
      <c r="B28" s="4"/>
      <c r="C28" s="4"/>
    </row>
    <row r="29" customFormat="false" ht="15" hidden="false" customHeight="false" outlineLevel="0" collapsed="false">
      <c r="A29" s="5" t="s">
        <v>31</v>
      </c>
      <c r="B29" s="17" t="n">
        <v>90</v>
      </c>
    </row>
    <row r="30" customFormat="false" ht="15" hidden="false" customHeight="false" outlineLevel="0" collapsed="false">
      <c r="A30" s="5" t="s">
        <v>32</v>
      </c>
      <c r="B30" s="17" t="n">
        <v>60</v>
      </c>
    </row>
    <row r="31" customFormat="false" ht="15" hidden="false" customHeight="false" outlineLevel="0" collapsed="false">
      <c r="A31" s="5" t="s">
        <v>33</v>
      </c>
      <c r="B31" s="18" t="s">
        <v>34</v>
      </c>
      <c r="C31" s="3" t="s">
        <v>35</v>
      </c>
    </row>
    <row r="32" customFormat="false" ht="15" hidden="false" customHeight="false" outlineLevel="0" collapsed="false">
      <c r="A32" s="5" t="s">
        <v>36</v>
      </c>
      <c r="B32" s="17" t="n">
        <v>250</v>
      </c>
    </row>
    <row r="33" customFormat="false" ht="15" hidden="false" customHeight="false" outlineLevel="0" collapsed="false">
      <c r="A33" s="9" t="s">
        <v>37</v>
      </c>
      <c r="B33" s="19" t="n">
        <f aca="false">IF(B31="Yes",B32,0)</f>
        <v>0</v>
      </c>
    </row>
    <row r="34" customFormat="false" ht="15" hidden="false" customHeight="false" outlineLevel="0" collapsed="false">
      <c r="A34" s="5" t="s">
        <v>38</v>
      </c>
      <c r="B34" s="17" t="n">
        <v>25</v>
      </c>
    </row>
    <row r="35" customFormat="false" ht="15" hidden="false" customHeight="false" outlineLevel="0" collapsed="false">
      <c r="A35" s="5" t="s">
        <v>39</v>
      </c>
      <c r="B35" s="17" t="n">
        <v>60</v>
      </c>
    </row>
    <row r="36" customFormat="false" ht="15" hidden="false" customHeight="false" outlineLevel="0" collapsed="false">
      <c r="A36" s="5" t="s">
        <v>40</v>
      </c>
      <c r="B36" s="17" t="n">
        <v>20</v>
      </c>
    </row>
    <row r="37" customFormat="false" ht="15" hidden="false" customHeight="false" outlineLevel="0" collapsed="false">
      <c r="A37" s="5" t="s">
        <v>41</v>
      </c>
      <c r="B37" s="16" t="n">
        <v>0.0175</v>
      </c>
    </row>
    <row r="39" customFormat="false" ht="15" hidden="false" customHeight="false" outlineLevel="0" collapsed="false">
      <c r="A39" s="4" t="s">
        <v>42</v>
      </c>
      <c r="B39" s="4"/>
      <c r="C39" s="4"/>
    </row>
    <row r="40" customFormat="false" ht="15" hidden="false" customHeight="false" outlineLevel="0" collapsed="false">
      <c r="A40" s="9" t="s">
        <v>43</v>
      </c>
      <c r="B40" s="20" t="n">
        <v>2400</v>
      </c>
      <c r="C40" s="3" t="s">
        <v>44</v>
      </c>
    </row>
    <row r="42" customFormat="false" ht="15" hidden="false" customHeight="false" outlineLevel="0" collapsed="false">
      <c r="A42" s="4" t="s">
        <v>45</v>
      </c>
      <c r="B42" s="4"/>
      <c r="C42" s="4"/>
    </row>
    <row r="43" customFormat="false" ht="15" hidden="false" customHeight="false" outlineLevel="0" collapsed="false">
      <c r="A43" s="5" t="s">
        <v>46</v>
      </c>
      <c r="B43" s="17" t="n">
        <v>100</v>
      </c>
    </row>
    <row r="44" customFormat="false" ht="15" hidden="false" customHeight="false" outlineLevel="0" collapsed="false">
      <c r="A44" s="5" t="s">
        <v>47</v>
      </c>
      <c r="B44" s="16" t="n">
        <v>0.65</v>
      </c>
    </row>
    <row r="46" customFormat="false" ht="15" hidden="false" customHeight="false" outlineLevel="0" collapsed="false">
      <c r="A46" s="4" t="s">
        <v>48</v>
      </c>
      <c r="B46" s="4"/>
      <c r="C46" s="4"/>
    </row>
    <row r="47" customFormat="false" ht="15" hidden="false" customHeight="false" outlineLevel="0" collapsed="false">
      <c r="A47" s="5" t="s">
        <v>49</v>
      </c>
      <c r="B47" s="21" t="n">
        <f aca="false">B14*(1+B26)*B25</f>
        <v>132</v>
      </c>
    </row>
    <row r="48" customFormat="false" ht="15" hidden="false" customHeight="false" outlineLevel="0" collapsed="false">
      <c r="A48" s="5" t="s">
        <v>50</v>
      </c>
      <c r="B48" s="21" t="n">
        <f aca="false">B29</f>
        <v>90</v>
      </c>
    </row>
    <row r="49" customFormat="false" ht="15" hidden="false" customHeight="false" outlineLevel="0" collapsed="false">
      <c r="A49" s="5" t="s">
        <v>51</v>
      </c>
      <c r="B49" s="21" t="n">
        <f aca="false">B30</f>
        <v>60</v>
      </c>
    </row>
    <row r="50" customFormat="false" ht="15" hidden="false" customHeight="false" outlineLevel="0" collapsed="false">
      <c r="A50" s="5" t="s">
        <v>52</v>
      </c>
      <c r="B50" s="21" t="n">
        <f aca="false">B33</f>
        <v>0</v>
      </c>
    </row>
    <row r="51" customFormat="false" ht="15" hidden="false" customHeight="false" outlineLevel="0" collapsed="false">
      <c r="A51" s="5" t="s">
        <v>53</v>
      </c>
      <c r="B51" s="21" t="n">
        <f aca="false">B34</f>
        <v>25</v>
      </c>
    </row>
    <row r="52" customFormat="false" ht="15" hidden="false" customHeight="false" outlineLevel="0" collapsed="false">
      <c r="A52" s="5" t="s">
        <v>54</v>
      </c>
      <c r="B52" s="21" t="n">
        <f aca="false">B35</f>
        <v>60</v>
      </c>
    </row>
    <row r="53" customFormat="false" ht="15" hidden="false" customHeight="false" outlineLevel="0" collapsed="false">
      <c r="A53" s="5" t="s">
        <v>55</v>
      </c>
      <c r="B53" s="21" t="n">
        <f aca="false">B36</f>
        <v>20</v>
      </c>
    </row>
    <row r="54" customFormat="false" ht="15" hidden="false" customHeight="false" outlineLevel="0" collapsed="false">
      <c r="A54" s="5" t="s">
        <v>56</v>
      </c>
      <c r="B54" s="21" t="n">
        <f aca="false">B40*B37</f>
        <v>42</v>
      </c>
    </row>
    <row r="55" customFormat="false" ht="15" hidden="false" customHeight="false" outlineLevel="0" collapsed="false">
      <c r="A55" s="9" t="s">
        <v>57</v>
      </c>
      <c r="B55" s="19" t="n">
        <f aca="false">SUM(B47:B54)</f>
        <v>429</v>
      </c>
    </row>
    <row r="57" customFormat="false" ht="15" hidden="false" customHeight="false" outlineLevel="0" collapsed="false">
      <c r="A57" s="9" t="s">
        <v>58</v>
      </c>
      <c r="B57" s="19" t="n">
        <f aca="false">B40</f>
        <v>2400</v>
      </c>
    </row>
    <row r="58" customFormat="false" ht="15" hidden="false" customHeight="false" outlineLevel="0" collapsed="false">
      <c r="A58" s="9" t="s">
        <v>59</v>
      </c>
      <c r="B58" s="19" t="n">
        <f aca="false">B57-B55</f>
        <v>1971</v>
      </c>
    </row>
    <row r="59" customFormat="false" ht="15" hidden="false" customHeight="false" outlineLevel="0" collapsed="false">
      <c r="A59" s="9" t="s">
        <v>60</v>
      </c>
      <c r="B59" s="22" t="n">
        <f aca="false">B58/B57</f>
        <v>0.82125</v>
      </c>
    </row>
    <row r="60" customFormat="false" ht="15" hidden="false" customHeight="false" outlineLevel="0" collapsed="false">
      <c r="A60" s="9" t="s">
        <v>61</v>
      </c>
      <c r="B60" s="19" t="n">
        <f aca="false">B58/B18</f>
        <v>149.696202531646</v>
      </c>
    </row>
    <row r="61" customFormat="false" ht="15" hidden="false" customHeight="false" outlineLevel="0" collapsed="false">
      <c r="A61" s="5" t="s">
        <v>62</v>
      </c>
      <c r="B61" s="23" t="n">
        <f aca="false">B57/B14</f>
        <v>120</v>
      </c>
    </row>
    <row r="62" customFormat="false" ht="15" hidden="false" customHeight="false" outlineLevel="0" collapsed="false">
      <c r="A62" s="5" t="s">
        <v>63</v>
      </c>
      <c r="B62" s="23" t="n">
        <f aca="false">B55/B14</f>
        <v>21.45</v>
      </c>
    </row>
    <row r="64" customFormat="false" ht="15" hidden="false" customHeight="false" outlineLevel="0" collapsed="false">
      <c r="A64" s="4" t="s">
        <v>64</v>
      </c>
      <c r="B64" s="4"/>
      <c r="C64" s="4"/>
    </row>
    <row r="65" customFormat="false" ht="15" hidden="false" customHeight="false" outlineLevel="0" collapsed="false">
      <c r="A65" s="5" t="s">
        <v>65</v>
      </c>
      <c r="B65" s="21" t="n">
        <f aca="false">(B43*B18+(B55-B54))/(1-B37)</f>
        <v>1734.01187446989</v>
      </c>
    </row>
    <row r="66" customFormat="false" ht="15" hidden="false" customHeight="false" outlineLevel="0" collapsed="false">
      <c r="A66" s="5" t="s">
        <v>66</v>
      </c>
      <c r="B66" s="21" t="n">
        <f aca="false">(B55-B54)/((1-B37)-B44)</f>
        <v>1163.90977443609</v>
      </c>
    </row>
    <row r="67" customFormat="false" ht="15" hidden="false" customHeight="false" outlineLevel="0" collapsed="false">
      <c r="A67" s="9" t="s">
        <v>67</v>
      </c>
      <c r="B67" s="24" t="n">
        <f aca="false">MAX(B65,B66)</f>
        <v>1734.01187446989</v>
      </c>
      <c r="C67" s="3" t="s">
        <v>68</v>
      </c>
    </row>
  </sheetData>
  <conditionalFormatting sqref="B59">
    <cfRule type="expression" priority="2" aboveAverage="0" equalAverage="0" bottom="0" percent="0" rank="0" text="" dxfId="0">
      <formula>$B$59&gt;=$B$44</formula>
    </cfRule>
    <cfRule type="expression" priority="3" aboveAverage="0" equalAverage="0" bottom="0" percent="0" rank="0" text="" dxfId="1">
      <formula>AND($B$59&lt;$B$44,$B$59&gt;=$B$44-0.1)</formula>
    </cfRule>
    <cfRule type="expression" priority="4" aboveAverage="0" equalAverage="0" bottom="0" percent="0" rank="0" text="" dxfId="2">
      <formula>$B$59&lt;$B$44-0.1</formula>
    </cfRule>
  </conditionalFormatting>
  <conditionalFormatting sqref="B60">
    <cfRule type="expression" priority="5" aboveAverage="0" equalAverage="0" bottom="0" percent="0" rank="0" text="" dxfId="0">
      <formula>$B$60&gt;=$B$43</formula>
    </cfRule>
    <cfRule type="expression" priority="6" aboveAverage="0" equalAverage="0" bottom="0" percent="0" rank="0" text="" dxfId="1">
      <formula>AND($B$60&lt;$B$43,$B$60&gt;=$B$43*0.8)</formula>
    </cfRule>
    <cfRule type="expression" priority="7" aboveAverage="0" equalAverage="0" bottom="0" percent="0" rank="0" text="" dxfId="2">
      <formula>$B$60&lt;$B$43*0.8</formula>
    </cfRule>
  </conditionalFormatting>
  <dataValidations count="1">
    <dataValidation allowBlank="false" errorStyle="stop" operator="between" showDropDown="false" showErrorMessage="false" showInputMessage="false" sqref="B31" type="list">
      <formula1>"Yes,No"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25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8"/>
    <col collapsed="false" customWidth="true" hidden="false" outlineLevel="0" max="4" min="2" style="0" width="17"/>
    <col collapsed="false" customWidth="true" hidden="false" outlineLevel="0" max="5" min="5" style="0" width="2"/>
  </cols>
  <sheetData>
    <row r="1" customFormat="false" ht="18.55" hidden="false" customHeight="false" outlineLevel="0" collapsed="false">
      <c r="A1" s="1" t="s">
        <v>69</v>
      </c>
    </row>
    <row r="2" customFormat="false" ht="15" hidden="false" customHeight="false" outlineLevel="0" collapsed="false">
      <c r="A2" s="2" t="s">
        <v>70</v>
      </c>
    </row>
    <row r="4" customFormat="false" ht="25.5" hidden="false" customHeight="true" outlineLevel="0" collapsed="false">
      <c r="A4" s="25"/>
      <c r="B4" s="26" t="s">
        <v>71</v>
      </c>
      <c r="C4" s="26" t="s">
        <v>72</v>
      </c>
      <c r="D4" s="26" t="s">
        <v>73</v>
      </c>
    </row>
    <row r="5" customFormat="false" ht="15" hidden="false" customHeight="false" outlineLevel="0" collapsed="false">
      <c r="A5" s="5" t="s">
        <v>74</v>
      </c>
      <c r="B5" s="17" t="n">
        <v>1500</v>
      </c>
      <c r="C5" s="17" t="n">
        <v>2400</v>
      </c>
      <c r="D5" s="17" t="n">
        <v>3400</v>
      </c>
    </row>
    <row r="6" customFormat="false" ht="15" hidden="false" customHeight="false" outlineLevel="0" collapsed="false">
      <c r="A6" s="5" t="s">
        <v>4</v>
      </c>
      <c r="B6" s="6" t="n">
        <v>4</v>
      </c>
      <c r="C6" s="6" t="n">
        <v>5</v>
      </c>
      <c r="D6" s="6" t="n">
        <v>6</v>
      </c>
    </row>
    <row r="7" customFormat="false" ht="15" hidden="false" customHeight="false" outlineLevel="0" collapsed="false">
      <c r="A7" s="5" t="s">
        <v>75</v>
      </c>
      <c r="B7" s="6" t="n">
        <v>4.5</v>
      </c>
      <c r="C7" s="6" t="n">
        <v>4.5</v>
      </c>
      <c r="D7" s="6" t="n">
        <v>5</v>
      </c>
    </row>
    <row r="8" customFormat="false" ht="15" hidden="false" customHeight="false" outlineLevel="0" collapsed="false">
      <c r="A8" s="5" t="s">
        <v>76</v>
      </c>
      <c r="B8" s="8" t="n">
        <v>16</v>
      </c>
      <c r="C8" s="8" t="n">
        <v>20</v>
      </c>
      <c r="D8" s="8" t="n">
        <v>28</v>
      </c>
    </row>
    <row r="9" customFormat="false" ht="15" hidden="false" customHeight="false" outlineLevel="0" collapsed="false">
      <c r="A9" s="5" t="s">
        <v>77</v>
      </c>
      <c r="B9" s="18" t="s">
        <v>34</v>
      </c>
      <c r="C9" s="18" t="s">
        <v>34</v>
      </c>
      <c r="D9" s="18" t="s">
        <v>78</v>
      </c>
    </row>
    <row r="10" customFormat="false" ht="15" hidden="false" customHeight="false" outlineLevel="0" collapsed="false">
      <c r="A10" s="5" t="s">
        <v>15</v>
      </c>
      <c r="B10" s="6" t="n">
        <v>2</v>
      </c>
      <c r="C10" s="6" t="n">
        <v>2</v>
      </c>
      <c r="D10" s="6" t="n">
        <v>2</v>
      </c>
    </row>
    <row r="11" customFormat="false" ht="15" hidden="false" customHeight="false" outlineLevel="0" collapsed="false">
      <c r="A11" s="9" t="s">
        <v>17</v>
      </c>
      <c r="B11" s="10" t="n">
        <f aca="false">B8*B10</f>
        <v>32</v>
      </c>
      <c r="C11" s="10" t="n">
        <f aca="false">C8*C10</f>
        <v>40</v>
      </c>
      <c r="D11" s="10" t="n">
        <f aca="false">D8*D10</f>
        <v>56</v>
      </c>
    </row>
    <row r="12" customFormat="false" ht="15" hidden="false" customHeight="false" outlineLevel="0" collapsed="false">
      <c r="A12" s="5" t="s">
        <v>79</v>
      </c>
      <c r="B12" s="27" t="n">
        <f aca="false">B6+Model!$B$7+(B8*Model!$B$9/60)+Model!$B$10+Model!$B$11</f>
        <v>11.6333333333333</v>
      </c>
      <c r="C12" s="27" t="n">
        <f aca="false">C6+Model!$B$7+(C8*Model!$B$9/60)+Model!$B$10+Model!$B$11</f>
        <v>13.1666666666667</v>
      </c>
      <c r="D12" s="27" t="n">
        <f aca="false">D6+Model!$B$7+(D8*Model!$B$9/60)+Model!$B$10+Model!$B$11</f>
        <v>15.2333333333333</v>
      </c>
    </row>
    <row r="13" customFormat="false" ht="15" hidden="false" customHeight="false" outlineLevel="0" collapsed="false">
      <c r="A13" s="5" t="s">
        <v>80</v>
      </c>
      <c r="B13" s="28" t="n">
        <f aca="false">B8*(1+Model!$B$26)*Model!$B$25</f>
        <v>105.6</v>
      </c>
      <c r="C13" s="28" t="n">
        <f aca="false">C8*(1+Model!$B$26)*Model!$B$25</f>
        <v>132</v>
      </c>
      <c r="D13" s="28" t="n">
        <f aca="false">D8*(1+Model!$B$26)*Model!$B$25</f>
        <v>184.8</v>
      </c>
    </row>
    <row r="14" customFormat="false" ht="15" hidden="false" customHeight="false" outlineLevel="0" collapsed="false">
      <c r="A14" s="5" t="s">
        <v>81</v>
      </c>
      <c r="B14" s="28" t="n">
        <f aca="false">IF(B9="Yes",Model!$B$32,0)</f>
        <v>0</v>
      </c>
      <c r="C14" s="28" t="n">
        <f aca="false">IF(C9="Yes",Model!$B$32,0)</f>
        <v>0</v>
      </c>
      <c r="D14" s="28" t="n">
        <f aca="false">IF(D9="Yes",Model!$B$32,0)</f>
        <v>250</v>
      </c>
    </row>
    <row r="15" customFormat="false" ht="15" hidden="false" customHeight="false" outlineLevel="0" collapsed="false">
      <c r="A15" s="5" t="s">
        <v>82</v>
      </c>
      <c r="B15" s="28" t="n">
        <f aca="false">Model!$B$29+Model!$B$30+Model!$B$34+Model!$B$35+Model!$B$36</f>
        <v>255</v>
      </c>
      <c r="C15" s="28" t="n">
        <f aca="false">Model!$B$29+Model!$B$30+Model!$B$34+Model!$B$35+Model!$B$36</f>
        <v>255</v>
      </c>
      <c r="D15" s="28" t="n">
        <f aca="false">Model!$B$29+Model!$B$30+Model!$B$34+Model!$B$35+Model!$B$36</f>
        <v>255</v>
      </c>
    </row>
    <row r="16" customFormat="false" ht="15" hidden="false" customHeight="false" outlineLevel="0" collapsed="false">
      <c r="A16" s="5" t="s">
        <v>56</v>
      </c>
      <c r="B16" s="28" t="n">
        <f aca="false">B5*Model!$B$37</f>
        <v>26.25</v>
      </c>
      <c r="C16" s="28" t="n">
        <f aca="false">C5*Model!$B$37</f>
        <v>42</v>
      </c>
      <c r="D16" s="28" t="n">
        <f aca="false">D5*Model!$B$37</f>
        <v>59.5</v>
      </c>
    </row>
    <row r="17" customFormat="false" ht="15" hidden="false" customHeight="false" outlineLevel="0" collapsed="false">
      <c r="A17" s="9" t="s">
        <v>57</v>
      </c>
      <c r="B17" s="19" t="n">
        <f aca="false">B13+B14+B15+B16</f>
        <v>386.85</v>
      </c>
      <c r="C17" s="19" t="n">
        <f aca="false">C13+C14+C15+C16</f>
        <v>429</v>
      </c>
      <c r="D17" s="19" t="n">
        <f aca="false">D13+D14+D15+D16</f>
        <v>749.3</v>
      </c>
    </row>
    <row r="18" customFormat="false" ht="15" hidden="false" customHeight="false" outlineLevel="0" collapsed="false">
      <c r="A18" s="9" t="s">
        <v>59</v>
      </c>
      <c r="B18" s="19" t="n">
        <f aca="false">B5-B17</f>
        <v>1113.15</v>
      </c>
      <c r="C18" s="19" t="n">
        <f aca="false">C5-C17</f>
        <v>1971</v>
      </c>
      <c r="D18" s="19" t="n">
        <f aca="false">D5-D17</f>
        <v>2650.7</v>
      </c>
    </row>
    <row r="19" customFormat="false" ht="15" hidden="false" customHeight="false" outlineLevel="0" collapsed="false">
      <c r="A19" s="9" t="s">
        <v>60</v>
      </c>
      <c r="B19" s="22" t="n">
        <f aca="false">B18/B5</f>
        <v>0.7421</v>
      </c>
      <c r="C19" s="22" t="n">
        <f aca="false">C18/C5</f>
        <v>0.82125</v>
      </c>
      <c r="D19" s="22" t="n">
        <f aca="false">D18/D5</f>
        <v>0.779617647058824</v>
      </c>
    </row>
    <row r="20" customFormat="false" ht="15" hidden="false" customHeight="false" outlineLevel="0" collapsed="false">
      <c r="A20" s="9" t="s">
        <v>83</v>
      </c>
      <c r="B20" s="19" t="n">
        <f aca="false">B18/B12</f>
        <v>95.6862464183381</v>
      </c>
      <c r="C20" s="19" t="n">
        <f aca="false">C18/C12</f>
        <v>149.696202531646</v>
      </c>
      <c r="D20" s="19" t="n">
        <f aca="false">D18/D12</f>
        <v>174.006564551422</v>
      </c>
    </row>
    <row r="21" customFormat="false" ht="15" hidden="false" customHeight="false" outlineLevel="0" collapsed="false">
      <c r="A21" s="5" t="s">
        <v>84</v>
      </c>
      <c r="B21" s="23" t="n">
        <f aca="false">B5/B8</f>
        <v>93.75</v>
      </c>
      <c r="C21" s="23" t="n">
        <f aca="false">C5/C8</f>
        <v>120</v>
      </c>
      <c r="D21" s="23" t="n">
        <f aca="false">D5/D8</f>
        <v>121.428571428571</v>
      </c>
    </row>
    <row r="22" customFormat="false" ht="15" hidden="false" customHeight="false" outlineLevel="0" collapsed="false">
      <c r="A22" s="5" t="s">
        <v>85</v>
      </c>
      <c r="B22" s="23" t="n">
        <f aca="false">B5/B11</f>
        <v>46.875</v>
      </c>
      <c r="C22" s="23" t="n">
        <f aca="false">C5/C11</f>
        <v>60</v>
      </c>
      <c r="D22" s="23" t="n">
        <f aca="false">D5/D11</f>
        <v>60.7142857142857</v>
      </c>
    </row>
    <row r="24" customFormat="false" ht="15" hidden="false" customHeight="false" outlineLevel="0" collapsed="false">
      <c r="A24" s="3" t="s">
        <v>86</v>
      </c>
    </row>
    <row r="25" customFormat="false" ht="15" hidden="false" customHeight="false" outlineLevel="0" collapsed="false">
      <c r="A25" s="3" t="s">
        <v>87</v>
      </c>
    </row>
  </sheetData>
  <conditionalFormatting sqref="B19">
    <cfRule type="expression" priority="2" aboveAverage="0" equalAverage="0" bottom="0" percent="0" rank="0" text="" dxfId="0">
      <formula>B19&gt;=Model!$B$44</formula>
    </cfRule>
    <cfRule type="expression" priority="3" aboveAverage="0" equalAverage="0" bottom="0" percent="0" rank="0" text="" dxfId="1">
      <formula>AND(B19&lt;Model!$B$44,B19&gt;=Model!$B$44-0.1)</formula>
    </cfRule>
    <cfRule type="expression" priority="4" aboveAverage="0" equalAverage="0" bottom="0" percent="0" rank="0" text="" dxfId="2">
      <formula>B19&lt;Model!$B$44-0.1</formula>
    </cfRule>
  </conditionalFormatting>
  <conditionalFormatting sqref="B20">
    <cfRule type="expression" priority="5" aboveAverage="0" equalAverage="0" bottom="0" percent="0" rank="0" text="" dxfId="0">
      <formula>B20&gt;=Model!$B$43</formula>
    </cfRule>
    <cfRule type="expression" priority="6" aboveAverage="0" equalAverage="0" bottom="0" percent="0" rank="0" text="" dxfId="1">
      <formula>AND(B20&lt;Model!$B$43,B20&gt;=Model!$B$43*0.8)</formula>
    </cfRule>
    <cfRule type="expression" priority="7" aboveAverage="0" equalAverage="0" bottom="0" percent="0" rank="0" text="" dxfId="2">
      <formula>B20&lt;Model!$B$43*0.8</formula>
    </cfRule>
  </conditionalFormatting>
  <conditionalFormatting sqref="C19">
    <cfRule type="expression" priority="8" aboveAverage="0" equalAverage="0" bottom="0" percent="0" rank="0" text="" dxfId="0">
      <formula>C19&gt;=Model!$B$44</formula>
    </cfRule>
    <cfRule type="expression" priority="9" aboveAverage="0" equalAverage="0" bottom="0" percent="0" rank="0" text="" dxfId="1">
      <formula>AND(C19&lt;Model!$B$44,C19&gt;=Model!$B$44-0.1)</formula>
    </cfRule>
    <cfRule type="expression" priority="10" aboveAverage="0" equalAverage="0" bottom="0" percent="0" rank="0" text="" dxfId="2">
      <formula>C19&lt;Model!$B$44-0.1</formula>
    </cfRule>
  </conditionalFormatting>
  <conditionalFormatting sqref="C20">
    <cfRule type="expression" priority="11" aboveAverage="0" equalAverage="0" bottom="0" percent="0" rank="0" text="" dxfId="0">
      <formula>C20&gt;=Model!$B$43</formula>
    </cfRule>
    <cfRule type="expression" priority="12" aboveAverage="0" equalAverage="0" bottom="0" percent="0" rank="0" text="" dxfId="1">
      <formula>AND(C20&lt;Model!$B$43,C20&gt;=Model!$B$43*0.8)</formula>
    </cfRule>
    <cfRule type="expression" priority="13" aboveAverage="0" equalAverage="0" bottom="0" percent="0" rank="0" text="" dxfId="2">
      <formula>C20&lt;Model!$B$43*0.8</formula>
    </cfRule>
  </conditionalFormatting>
  <conditionalFormatting sqref="D19">
    <cfRule type="expression" priority="14" aboveAverage="0" equalAverage="0" bottom="0" percent="0" rank="0" text="" dxfId="0">
      <formula>D19&gt;=Model!$B$44</formula>
    </cfRule>
    <cfRule type="expression" priority="15" aboveAverage="0" equalAverage="0" bottom="0" percent="0" rank="0" text="" dxfId="1">
      <formula>AND(D19&lt;Model!$B$44,D19&gt;=Model!$B$44-0.1)</formula>
    </cfRule>
    <cfRule type="expression" priority="16" aboveAverage="0" equalAverage="0" bottom="0" percent="0" rank="0" text="" dxfId="2">
      <formula>D19&lt;Model!$B$44-0.1</formula>
    </cfRule>
  </conditionalFormatting>
  <conditionalFormatting sqref="D20">
    <cfRule type="expression" priority="17" aboveAverage="0" equalAverage="0" bottom="0" percent="0" rank="0" text="" dxfId="0">
      <formula>D20&gt;=Model!$B$43</formula>
    </cfRule>
    <cfRule type="expression" priority="18" aboveAverage="0" equalAverage="0" bottom="0" percent="0" rank="0" text="" dxfId="1">
      <formula>AND(D20&lt;Model!$B$43,D20&gt;=Model!$B$43*0.8)</formula>
    </cfRule>
    <cfRule type="expression" priority="19" aboveAverage="0" equalAverage="0" bottom="0" percent="0" rank="0" text="" dxfId="2">
      <formula>D20&lt;Model!$B$43*0.8</formula>
    </cfRule>
  </conditionalFormatting>
  <dataValidations count="1">
    <dataValidation allowBlank="false" errorStyle="stop" operator="between" showDropDown="false" showErrorMessage="false" showInputMessage="false" sqref="B9:D9" type="list">
      <formula1>"Yes,No"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8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6"/>
    <col collapsed="false" customWidth="true" hidden="false" outlineLevel="0" max="2" min="2" style="0" width="16"/>
    <col collapsed="false" customWidth="true" hidden="false" outlineLevel="0" max="3" min="3" style="0" width="30"/>
    <col collapsed="false" customWidth="true" hidden="false" outlineLevel="0" max="4" min="4" style="0" width="24"/>
    <col collapsed="false" customWidth="true" hidden="false" outlineLevel="0" max="5" min="5" style="0" width="26"/>
    <col collapsed="false" customWidth="true" hidden="false" outlineLevel="0" max="6" min="6" style="0" width="46"/>
  </cols>
  <sheetData>
    <row r="1" customFormat="false" ht="18.55" hidden="false" customHeight="false" outlineLevel="0" collapsed="false">
      <c r="A1" s="1" t="s">
        <v>88</v>
      </c>
    </row>
    <row r="2" customFormat="false" ht="15" hidden="false" customHeight="false" outlineLevel="0" collapsed="false">
      <c r="A2" s="2" t="s">
        <v>89</v>
      </c>
    </row>
    <row r="4" customFormat="false" ht="25.5" hidden="false" customHeight="true" outlineLevel="0" collapsed="false">
      <c r="A4" s="29" t="s">
        <v>90</v>
      </c>
      <c r="B4" s="29" t="s">
        <v>91</v>
      </c>
      <c r="C4" s="29" t="s">
        <v>92</v>
      </c>
      <c r="D4" s="29" t="s">
        <v>93</v>
      </c>
      <c r="E4" s="29" t="s">
        <v>94</v>
      </c>
      <c r="F4" s="29" t="s">
        <v>95</v>
      </c>
    </row>
    <row r="5" customFormat="false" ht="22.35" hidden="false" customHeight="false" outlineLevel="0" collapsed="false">
      <c r="A5" s="30" t="s">
        <v>96</v>
      </c>
      <c r="B5" s="30" t="s">
        <v>97</v>
      </c>
      <c r="C5" s="30" t="s">
        <v>98</v>
      </c>
      <c r="D5" s="30" t="s">
        <v>99</v>
      </c>
      <c r="E5" s="30" t="s">
        <v>100</v>
      </c>
      <c r="F5" s="30" t="s">
        <v>101</v>
      </c>
    </row>
    <row r="6" customFormat="false" ht="15" hidden="false" customHeight="false" outlineLevel="0" collapsed="false">
      <c r="A6" s="30" t="s">
        <v>102</v>
      </c>
      <c r="B6" s="30" t="s">
        <v>103</v>
      </c>
      <c r="C6" s="30" t="s">
        <v>104</v>
      </c>
      <c r="D6" s="30" t="s">
        <v>105</v>
      </c>
      <c r="E6" s="30" t="s">
        <v>106</v>
      </c>
      <c r="F6" s="30" t="s">
        <v>107</v>
      </c>
    </row>
    <row r="7" customFormat="false" ht="22.35" hidden="false" customHeight="false" outlineLevel="0" collapsed="false">
      <c r="A7" s="30" t="s">
        <v>108</v>
      </c>
      <c r="B7" s="30" t="s">
        <v>103</v>
      </c>
      <c r="C7" s="30" t="s">
        <v>109</v>
      </c>
      <c r="D7" s="30" t="s">
        <v>110</v>
      </c>
      <c r="E7" s="30" t="s">
        <v>111</v>
      </c>
      <c r="F7" s="30" t="s">
        <v>112</v>
      </c>
    </row>
    <row r="8" customFormat="false" ht="15" hidden="false" customHeight="false" outlineLevel="0" collapsed="false">
      <c r="A8" s="30" t="s">
        <v>113</v>
      </c>
      <c r="B8" s="30" t="s">
        <v>103</v>
      </c>
      <c r="C8" s="30" t="s">
        <v>114</v>
      </c>
      <c r="D8" s="30" t="s">
        <v>115</v>
      </c>
      <c r="E8" s="30" t="s">
        <v>116</v>
      </c>
      <c r="F8" s="30" t="s">
        <v>117</v>
      </c>
    </row>
    <row r="9" customFormat="false" ht="15" hidden="false" customHeight="false" outlineLevel="0" collapsed="false">
      <c r="A9" s="30" t="s">
        <v>118</v>
      </c>
      <c r="B9" s="30" t="s">
        <v>103</v>
      </c>
      <c r="C9" s="30" t="s">
        <v>119</v>
      </c>
      <c r="D9" s="30" t="s">
        <v>120</v>
      </c>
      <c r="E9" s="30" t="s">
        <v>121</v>
      </c>
      <c r="F9" s="30" t="s">
        <v>122</v>
      </c>
    </row>
    <row r="10" customFormat="false" ht="15" hidden="false" customHeight="false" outlineLevel="0" collapsed="false">
      <c r="A10" s="30" t="s">
        <v>123</v>
      </c>
      <c r="B10" s="30" t="s">
        <v>103</v>
      </c>
      <c r="C10" s="30" t="s">
        <v>109</v>
      </c>
      <c r="D10" s="30" t="s">
        <v>124</v>
      </c>
      <c r="E10" s="30" t="s">
        <v>125</v>
      </c>
      <c r="F10" s="30" t="s">
        <v>126</v>
      </c>
    </row>
    <row r="11" customFormat="false" ht="15" hidden="false" customHeight="false" outlineLevel="0" collapsed="false">
      <c r="A11" s="30" t="s">
        <v>127</v>
      </c>
      <c r="B11" s="30" t="s">
        <v>103</v>
      </c>
      <c r="C11" s="30" t="s">
        <v>128</v>
      </c>
      <c r="D11" s="30" t="s">
        <v>99</v>
      </c>
      <c r="E11" s="30" t="s">
        <v>129</v>
      </c>
      <c r="F11" s="30" t="s">
        <v>130</v>
      </c>
    </row>
    <row r="12" customFormat="false" ht="15" hidden="false" customHeight="false" outlineLevel="0" collapsed="false">
      <c r="A12" s="30" t="s">
        <v>131</v>
      </c>
      <c r="B12" s="30" t="s">
        <v>132</v>
      </c>
      <c r="C12" s="30" t="s">
        <v>133</v>
      </c>
      <c r="D12" s="30" t="s">
        <v>134</v>
      </c>
      <c r="E12" s="30" t="s">
        <v>135</v>
      </c>
      <c r="F12" s="30" t="s">
        <v>136</v>
      </c>
    </row>
    <row r="13" customFormat="false" ht="22.35" hidden="false" customHeight="false" outlineLevel="0" collapsed="false">
      <c r="A13" s="30" t="s">
        <v>137</v>
      </c>
      <c r="B13" s="30" t="s">
        <v>138</v>
      </c>
      <c r="C13" s="30" t="s">
        <v>139</v>
      </c>
      <c r="D13" s="30" t="s">
        <v>140</v>
      </c>
      <c r="E13" s="30" t="s">
        <v>141</v>
      </c>
      <c r="F13" s="30" t="s">
        <v>142</v>
      </c>
    </row>
    <row r="14" customFormat="false" ht="22.35" hidden="false" customHeight="false" outlineLevel="0" collapsed="false">
      <c r="A14" s="30" t="s">
        <v>143</v>
      </c>
      <c r="B14" s="30" t="s">
        <v>144</v>
      </c>
      <c r="C14" s="30" t="s">
        <v>98</v>
      </c>
      <c r="D14" s="30" t="s">
        <v>145</v>
      </c>
      <c r="E14" s="30" t="s">
        <v>146</v>
      </c>
      <c r="F14" s="30" t="s">
        <v>143</v>
      </c>
    </row>
    <row r="15" customFormat="false" ht="15" hidden="false" customHeight="false" outlineLevel="0" collapsed="false">
      <c r="A15" s="30" t="s">
        <v>147</v>
      </c>
      <c r="B15" s="30" t="s">
        <v>144</v>
      </c>
      <c r="C15" s="30" t="s">
        <v>148</v>
      </c>
      <c r="D15" s="30" t="s">
        <v>149</v>
      </c>
      <c r="E15" s="30" t="s">
        <v>150</v>
      </c>
      <c r="F15" s="30" t="s">
        <v>151</v>
      </c>
    </row>
    <row r="16" customFormat="false" ht="22.35" hidden="false" customHeight="false" outlineLevel="0" collapsed="false">
      <c r="A16" s="30" t="s">
        <v>152</v>
      </c>
      <c r="B16" s="30" t="s">
        <v>153</v>
      </c>
      <c r="C16" s="30" t="s">
        <v>139</v>
      </c>
      <c r="D16" s="30" t="s">
        <v>154</v>
      </c>
      <c r="E16" s="30" t="s">
        <v>155</v>
      </c>
      <c r="F16" s="30" t="s">
        <v>156</v>
      </c>
    </row>
    <row r="18" customFormat="false" ht="15" hidden="false" customHeight="false" outlineLevel="0" collapsed="false">
      <c r="A18" s="3" t="s">
        <v>157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2026-06-21T13:08:58Z</dcterms:created>
  <dc:creator/>
  <dc:description>Capped all-live keepsake model: cost base, package tiers, benchmarks.</dc:description>
  <dc:language>en-US</dc:language>
  <cp:lastModifiedBy/>
  <dcterms:modified xsi:type="dcterms:W3CDTF">2026-06-21T13:08:58Z</dcterms:modified>
  <cp:revision>0</cp:revision>
  <dc:subject/>
  <dc:title>Live wedding watercolour — cost &amp; pricing model</dc:title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