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Scenarios" sheetId="2" state="visible" r:id="rId4"/>
    <sheet name="Benchmar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<sst xmlns="http://schemas.openxmlformats.org/spreadsheetml/2006/main" count="172" uniqueCount="154">
  <si>
    <t xml:space="preserve">Live wedding watercolour — cost &amp; pricing model</t>
  </si>
  <si>
    <t xml:space="preserve">A5 cotton-rag group portraits  ·  Sydney  ·  all figures AUD, excl GST</t>
  </si>
  <si>
    <t xml:space="preserve">Blue cells are mine to change. Black cells are calculated — I update the blue inputs and everything below refreshes.</t>
  </si>
  <si>
    <t xml:space="preserve">TIME &amp; THROUGHPUT</t>
  </si>
  <si>
    <t xml:space="preserve">Reception painting hours</t>
  </si>
  <si>
    <t xml:space="preserve">My leading format is painting through the night.</t>
  </si>
  <si>
    <t xml:space="preserve">Setup + pack-down (hours)</t>
  </si>
  <si>
    <t xml:space="preserve">Finished pieces per painting hour</t>
  </si>
  <si>
    <t xml:space="preserve">Watercolour A5 of 1–4 guests. Benchmarks sit at ~4–6/hr; revisit once I know my real pace.</t>
  </si>
  <si>
    <t xml:space="preserve">Studio refining per piece (minutes)</t>
  </si>
  <si>
    <t xml:space="preserve">Consultation + admin per wedding (hours)</t>
  </si>
  <si>
    <t xml:space="preserve">Travel time, round trip (hours)</t>
  </si>
  <si>
    <t xml:space="preserve">Pieces per night</t>
  </si>
  <si>
    <t xml:space="preserve">Studio refining hours</t>
  </si>
  <si>
    <t xml:space="preserve">Total engaged hours per wedding</t>
  </si>
  <si>
    <t xml:space="preserve">On-site + setup + studio refining + consult/admin + travel.</t>
  </si>
  <si>
    <t xml:space="preserve">MATERIALS PER PIECE</t>
  </si>
  <si>
    <t xml:space="preserve">A5 cotton-rag sheet</t>
  </si>
  <si>
    <t xml:space="preserve">Cost of one A5, cut from full cotton-rag sheets. Update after I cut a batch and know my yield.</t>
  </si>
  <si>
    <t xml:space="preserve">Paint + incidentals</t>
  </si>
  <si>
    <t xml:space="preserve">Clear sleeve + backing board</t>
  </si>
  <si>
    <t xml:space="preserve">Branded mount / folder</t>
  </si>
  <si>
    <t xml:space="preserve">Set to 0 if a piece goes out bare in a sleeve.</t>
  </si>
  <si>
    <t xml:space="preserve">Materials per piece</t>
  </si>
  <si>
    <t xml:space="preserve">PER-WEDDING COSTS</t>
  </si>
  <si>
    <t xml:space="preserve">Couple keepsake piece — framing</t>
  </si>
  <si>
    <t xml:space="preserve">The couple's own framed piece I include in the package.</t>
  </si>
  <si>
    <t xml:space="preserve">Travel cost (fuel / tolls / parking)</t>
  </si>
  <si>
    <t xml:space="preserve">Use an assistant?</t>
  </si>
  <si>
    <t xml:space="preserve">No</t>
  </si>
  <si>
    <t xml:space="preserve">An assistant on photos + queue + sleeving lifts my throughput and is worth modelling for big nights.</t>
  </si>
  <si>
    <t xml:space="preserve">Assistant fee (if used)</t>
  </si>
  <si>
    <t xml:space="preserve">Assistant cost applied</t>
  </si>
  <si>
    <t xml:space="preserve">Public liability insurance (per event)</t>
  </si>
  <si>
    <t xml:space="preserve">Annual premium spread across the weddings I expect to paint that year.</t>
  </si>
  <si>
    <t xml:space="preserve">Marketing / Instagram (amortised)</t>
  </si>
  <si>
    <t xml:space="preserve">Misc admin + consumables</t>
  </si>
  <si>
    <t xml:space="preserve">Booking / card fees (% of price)</t>
  </si>
  <si>
    <t xml:space="preserve">PRICE I'M TESTING</t>
  </si>
  <si>
    <t xml:space="preserve">Package price to couple</t>
  </si>
  <si>
    <t xml:space="preserve">Set this, then read the margin and effective hourly below. Compare options on the Scenarios tab.</t>
  </si>
  <si>
    <t xml:space="preserve">MY TARGETS</t>
  </si>
  <si>
    <t xml:space="preserve">Target effective hourly rate</t>
  </si>
  <si>
    <t xml:space="preserve">What my engaged time needs to earn for this to be worth it.</t>
  </si>
  <si>
    <t xml:space="preserve">Target gross margin</t>
  </si>
  <si>
    <t xml:space="preserve">RESULTS</t>
  </si>
  <si>
    <t xml:space="preserve">Total materials (all pieces)</t>
  </si>
  <si>
    <t xml:space="preserve">Couple keepsake framing</t>
  </si>
  <si>
    <t xml:space="preserve">Travel</t>
  </si>
  <si>
    <t xml:space="preserve">Assistant</t>
  </si>
  <si>
    <t xml:space="preserve">Insurance</t>
  </si>
  <si>
    <t xml:space="preserve">Marketing (amortised)</t>
  </si>
  <si>
    <t xml:space="preserve">Misc admin</t>
  </si>
  <si>
    <t xml:space="preserve">Booking / card fees</t>
  </si>
  <si>
    <t xml:space="preserve">Total cost per wedding</t>
  </si>
  <si>
    <t xml:space="preserve">Revenue (package price)</t>
  </si>
  <si>
    <t xml:space="preserve">Gross profit</t>
  </si>
  <si>
    <t xml:space="preserve">Gross margin</t>
  </si>
  <si>
    <t xml:space="preserve">Effective hourly (profit ÷ engaged hrs)</t>
  </si>
  <si>
    <t xml:space="preserve">Revenue per piece</t>
  </si>
  <si>
    <t xml:space="preserve">Fully-loaded cost per piece</t>
  </si>
  <si>
    <t xml:space="preserve">WHAT I SHOULD CHARGE</t>
  </si>
  <si>
    <t xml:space="preserve">Price to hit target hourly</t>
  </si>
  <si>
    <t xml:space="preserve">Price to hit target margin</t>
  </si>
  <si>
    <t xml:space="preserve">Recommended standing price</t>
  </si>
  <si>
    <t xml:space="preserve">The higher of the two, so I clear both my hourly and my margin floors.</t>
  </si>
  <si>
    <t xml:space="preserve">Pricing scenarios — launch → target</t>
  </si>
  <si>
    <t xml:space="preserve">Same cost base as the Model tab. I only change price, hours and pace per column.</t>
  </si>
  <si>
    <t xml:space="preserve">Launch (foundation rate)</t>
  </si>
  <si>
    <t xml:space="preserve">Settling in</t>
  </si>
  <si>
    <t xml:space="preserve">Target standing</t>
  </si>
  <si>
    <t xml:space="preserve">Package price (set per column)</t>
  </si>
  <si>
    <t xml:space="preserve">Pieces per painting hour</t>
  </si>
  <si>
    <t xml:space="preserve">Total engaged hours</t>
  </si>
  <si>
    <t xml:space="preserve">Materials (all pieces)</t>
  </si>
  <si>
    <t xml:space="preserve">Other per-wedding costs (excl fees)</t>
  </si>
  <si>
    <t xml:space="preserve">Effective hourly rate</t>
  </si>
  <si>
    <t xml:space="preserve">Green = clears my target  ·  Amber = close  ·  Red = below floor. Targets live on the Model tab.</t>
  </si>
  <si>
    <t xml:space="preserve">Market benchmarks I pulled (June 2026)</t>
  </si>
  <si>
    <t xml:space="preserve">Live event painting and guest-portrait pricing. Figures as advertised; most exclude travel. I'll refresh these periodically.</t>
  </si>
  <si>
    <t xml:space="preserve">Artist / source</t>
  </si>
  <si>
    <t xml:space="preserve">Market</t>
  </si>
  <si>
    <t xml:space="preserve">Format</t>
  </si>
  <si>
    <t xml:space="preserve">Price (advertised)</t>
  </si>
  <si>
    <t xml:space="preserve">Throughput</t>
  </si>
  <si>
    <t xml:space="preserve">Source</t>
  </si>
  <si>
    <t xml:space="preserve">Golden Rose Creative</t>
  </si>
  <si>
    <t xml:space="preserve">Northern NSW</t>
  </si>
  <si>
    <t xml:space="preserve">A5 watercolour guest portraits</t>
  </si>
  <si>
    <t xml:space="preserve">Custom quote</t>
  </si>
  <si>
    <t xml:space="preserve">5 couples (10 guests)/hr; up to 40 guests in 4 hrs</t>
  </si>
  <si>
    <t xml:space="preserve">goldenrosecreative.co/live-wedding-illustrations</t>
  </si>
  <si>
    <t xml:space="preserve">Christine Pan</t>
  </si>
  <si>
    <t xml:space="preserve">Sydney</t>
  </si>
  <si>
    <t xml:space="preserve">A5–A4 live illustration</t>
  </si>
  <si>
    <t xml:space="preserve">From $1,245 (intro)</t>
  </si>
  <si>
    <t xml:space="preserve">Studio finish for overflow</t>
  </si>
  <si>
    <t xml:space="preserve">christinepan.com.au</t>
  </si>
  <si>
    <t xml:space="preserve">Grace Choi</t>
  </si>
  <si>
    <t xml:space="preserve">Live guest portraits</t>
  </si>
  <si>
    <t xml:space="preserve">From $2,500; range $1,200–$6,000</t>
  </si>
  <si>
    <t xml:space="preserve">~12–15 illustrations/hr (line)</t>
  </si>
  <si>
    <t xml:space="preserve">gracechoiartist.com/weddings</t>
  </si>
  <si>
    <t xml:space="preserve">Let Me Draw You</t>
  </si>
  <si>
    <t xml:space="preserve">Live guest illustration</t>
  </si>
  <si>
    <t xml:space="preserve">From $600 / 3 hrs</t>
  </si>
  <si>
    <t xml:space="preserve">~5–7 min per portrait</t>
  </si>
  <si>
    <t xml:space="preserve">letmedrawyou.com</t>
  </si>
  <si>
    <t xml:space="preserve">Lisa Catanea</t>
  </si>
  <si>
    <t xml:space="preserve">Live illustration + A4 couple piece</t>
  </si>
  <si>
    <t xml:space="preserve">From $1,400</t>
  </si>
  <si>
    <t xml:space="preserve">Hourly available</t>
  </si>
  <si>
    <t xml:space="preserve">lisacatanea.com.au</t>
  </si>
  <si>
    <t xml:space="preserve">Wedding Guest Portraits</t>
  </si>
  <si>
    <t xml:space="preserve">$1,000 half day / $2,000 full day</t>
  </si>
  <si>
    <t xml:space="preserve">4 hr / 8 hr</t>
  </si>
  <si>
    <t xml:space="preserve">weddingguestportraits.com.au</t>
  </si>
  <si>
    <t xml:space="preserve">Painted Favours</t>
  </si>
  <si>
    <t xml:space="preserve">Canvas + guest illustrations</t>
  </si>
  <si>
    <t xml:space="preserve">60+ pieces a night with assistant</t>
  </si>
  <si>
    <t xml:space="preserve">paintedfavours.com.au</t>
  </si>
  <si>
    <t xml:space="preserve">IAmPoppy Designs</t>
  </si>
  <si>
    <t xml:space="preserve">Sydney/national</t>
  </si>
  <si>
    <t xml:space="preserve">Watercolour or acrylic canvas</t>
  </si>
  <si>
    <t xml:space="preserve">Package, framing incl.</t>
  </si>
  <si>
    <t xml:space="preserve">6–8 hrs live + 6–12 hrs studio</t>
  </si>
  <si>
    <t xml:space="preserve">iampoppy.com</t>
  </si>
  <si>
    <t xml:space="preserve">Wedding Painter (Mina Lee)</t>
  </si>
  <si>
    <t xml:space="preserve">Oil canvas + live illustration add-on</t>
  </si>
  <si>
    <t xml:space="preserve">Canvas $4,900–$7,500</t>
  </si>
  <si>
    <t xml:space="preserve">Up to 7 hrs + 40–60 hrs studio</t>
  </si>
  <si>
    <t xml:space="preserve">easyweddings.com.au</t>
  </si>
  <si>
    <t xml:space="preserve">Aust. market (survey blog)</t>
  </si>
  <si>
    <t xml:space="preserve">Australia</t>
  </si>
  <si>
    <t xml:space="preserve">Live painting (canvas)</t>
  </si>
  <si>
    <t xml:space="preserve">Avg $2,500–$5,000; ~$500–$700/hr</t>
  </si>
  <si>
    <t xml:space="preserve">—</t>
  </si>
  <si>
    <t xml:space="preserve">elenavalerie.com.au</t>
  </si>
  <si>
    <t xml:space="preserve">weddingillustrator.co.uk</t>
  </si>
  <si>
    <t xml:space="preserve">UK</t>
  </si>
  <si>
    <t xml:space="preserve">A5 full-length watercolour guest portraits</t>
  </si>
  <si>
    <t xml:space="preserve">Package (multi-hr)</t>
  </si>
  <si>
    <t xml:space="preserve">8 singles / 5 couples / 2–3 families per hr</t>
  </si>
  <si>
    <t xml:space="preserve">Arty at Heart</t>
  </si>
  <si>
    <t xml:space="preserve">A5–A4 watercolour, groups up to 4</t>
  </si>
  <si>
    <t xml:space="preserve">+£100/hr over 5-hr base</t>
  </si>
  <si>
    <t xml:space="preserve">4–5 pieces/hr</t>
  </si>
  <si>
    <t xml:space="preserve">artyatheartillustrations.com</t>
  </si>
  <si>
    <t xml:space="preserve">US market (survey blogs)</t>
  </si>
  <si>
    <t xml:space="preserve">USA</t>
  </si>
  <si>
    <t xml:space="preserve">Typically $2,000–$10,000; median ~$2,500</t>
  </si>
  <si>
    <t xml:space="preserve">3–4 hrs on site + up to 40–60 hrs studio</t>
  </si>
  <si>
    <t xml:space="preserve">paintmyweddingday.com; benkeys.com</t>
  </si>
  <si>
    <t xml:space="preserve">Note: 'illustration' usually means fast line/fashion work (12–15/hr). Watercolour of 1–4 guests is slower and more premium, which is where my A5 cotton-rag pieces sit.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</si>
</sst>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\$#,##0.00"/>
    <numFmt numFmtId="168" formatCode="\$#,##0"/>
    <numFmt numFmtId="169" formatCode="@"/>
    <numFmt numFmtId="170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11182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34155"/>
        <bgColor rgb="FF1F2937"/>
      </patternFill>
    </fill>
    <fill>
      <patternFill patternType="solid">
        <fgColor rgb="FFEFF6FF"/>
        <bgColor rgb="FFFFFFFF"/>
      </patternFill>
    </fill>
    <fill>
      <patternFill patternType="solid">
        <fgColor rgb="FFFFF3BF"/>
        <bgColor rgb="FFFFEB9C"/>
      </patternFill>
    </fill>
    <fill>
      <patternFill patternType="solid">
        <fgColor rgb="FFDCFCE7"/>
        <bgColor rgb="FFEF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BF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41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5" t="s">
        <v>4</v>
      </c>
      <c r="B6" s="6" t="n">
        <v>5</v>
      </c>
      <c r="C6" s="3" t="s">
        <v>5</v>
      </c>
    </row>
    <row r="7" customFormat="false" ht="15" hidden="false" customHeight="false" outlineLevel="0" collapsed="false">
      <c r="A7" s="5" t="s">
        <v>6</v>
      </c>
      <c r="B7" s="6" t="n">
        <v>1</v>
      </c>
    </row>
    <row r="8" customFormat="false" ht="15" hidden="false" customHeight="false" outlineLevel="0" collapsed="false">
      <c r="A8" s="5" t="s">
        <v>7</v>
      </c>
      <c r="B8" s="7" t="n">
        <v>4.5</v>
      </c>
      <c r="C8" s="3" t="s">
        <v>8</v>
      </c>
    </row>
    <row r="9" customFormat="false" ht="15" hidden="false" customHeight="false" outlineLevel="0" collapsed="false">
      <c r="A9" s="5" t="s">
        <v>9</v>
      </c>
      <c r="B9" s="8" t="n">
        <v>10</v>
      </c>
    </row>
    <row r="10" customFormat="false" ht="15" hidden="false" customHeight="false" outlineLevel="0" collapsed="false">
      <c r="A10" s="5" t="s">
        <v>10</v>
      </c>
      <c r="B10" s="6" t="n">
        <v>3</v>
      </c>
    </row>
    <row r="11" customFormat="false" ht="15" hidden="false" customHeight="false" outlineLevel="0" collapsed="false">
      <c r="A11" s="5" t="s">
        <v>11</v>
      </c>
      <c r="B11" s="6" t="n">
        <v>1.5</v>
      </c>
    </row>
    <row r="13" customFormat="false" ht="15" hidden="false" customHeight="false" outlineLevel="0" collapsed="false">
      <c r="A13" s="9" t="s">
        <v>12</v>
      </c>
      <c r="B13" s="10" t="n">
        <f aca="false">B6*B8</f>
        <v>22.5</v>
      </c>
    </row>
    <row r="14" customFormat="false" ht="15" hidden="false" customHeight="false" outlineLevel="0" collapsed="false">
      <c r="A14" s="9" t="s">
        <v>13</v>
      </c>
      <c r="B14" s="11" t="n">
        <f aca="false">B13*B9/60</f>
        <v>3.75</v>
      </c>
    </row>
    <row r="15" customFormat="false" ht="15" hidden="false" customHeight="false" outlineLevel="0" collapsed="false">
      <c r="A15" s="9" t="s">
        <v>14</v>
      </c>
      <c r="B15" s="11" t="n">
        <f aca="false">B6+B7+B14+B10+B11</f>
        <v>14.25</v>
      </c>
      <c r="C15" s="3" t="s">
        <v>15</v>
      </c>
    </row>
    <row r="17" customFormat="false" ht="15" hidden="false" customHeight="false" outlineLevel="0" collapsed="false">
      <c r="A17" s="4" t="s">
        <v>16</v>
      </c>
      <c r="B17" s="4"/>
      <c r="C17" s="4"/>
    </row>
    <row r="18" customFormat="false" ht="15" hidden="false" customHeight="false" outlineLevel="0" collapsed="false">
      <c r="A18" s="5" t="s">
        <v>17</v>
      </c>
      <c r="B18" s="12" t="n">
        <v>2.5</v>
      </c>
      <c r="C18" s="3" t="s">
        <v>18</v>
      </c>
    </row>
    <row r="19" customFormat="false" ht="15" hidden="false" customHeight="false" outlineLevel="0" collapsed="false">
      <c r="A19" s="5" t="s">
        <v>19</v>
      </c>
      <c r="B19" s="12" t="n">
        <v>0.8</v>
      </c>
    </row>
    <row r="20" customFormat="false" ht="15" hidden="false" customHeight="false" outlineLevel="0" collapsed="false">
      <c r="A20" s="5" t="s">
        <v>20</v>
      </c>
      <c r="B20" s="12" t="n">
        <v>1.2</v>
      </c>
    </row>
    <row r="21" customFormat="false" ht="15" hidden="false" customHeight="false" outlineLevel="0" collapsed="false">
      <c r="A21" s="5" t="s">
        <v>21</v>
      </c>
      <c r="B21" s="12" t="n">
        <v>1.5</v>
      </c>
      <c r="C21" s="3" t="s">
        <v>22</v>
      </c>
    </row>
    <row r="22" customFormat="false" ht="15" hidden="false" customHeight="false" outlineLevel="0" collapsed="false">
      <c r="A22" s="9" t="s">
        <v>23</v>
      </c>
      <c r="B22" s="13" t="n">
        <f aca="false">SUM(B18:B21)</f>
        <v>6</v>
      </c>
    </row>
    <row r="24" customFormat="false" ht="15" hidden="false" customHeight="false" outlineLevel="0" collapsed="false">
      <c r="A24" s="4" t="s">
        <v>24</v>
      </c>
      <c r="B24" s="4"/>
      <c r="C24" s="4"/>
    </row>
    <row r="25" customFormat="false" ht="15" hidden="false" customHeight="false" outlineLevel="0" collapsed="false">
      <c r="A25" s="5" t="s">
        <v>25</v>
      </c>
      <c r="B25" s="14" t="n">
        <v>90</v>
      </c>
      <c r="C25" s="3" t="s">
        <v>26</v>
      </c>
    </row>
    <row r="26" customFormat="false" ht="15" hidden="false" customHeight="false" outlineLevel="0" collapsed="false">
      <c r="A26" s="5" t="s">
        <v>27</v>
      </c>
      <c r="B26" s="14" t="n">
        <v>60</v>
      </c>
    </row>
    <row r="27" customFormat="false" ht="15" hidden="false" customHeight="false" outlineLevel="0" collapsed="false">
      <c r="A27" s="5" t="s">
        <v>28</v>
      </c>
      <c r="B27" s="15" t="s">
        <v>29</v>
      </c>
      <c r="C27" s="3" t="s">
        <v>30</v>
      </c>
    </row>
    <row r="28" customFormat="false" ht="15" hidden="false" customHeight="false" outlineLevel="0" collapsed="false">
      <c r="A28" s="5" t="s">
        <v>31</v>
      </c>
      <c r="B28" s="14" t="n">
        <v>250</v>
      </c>
    </row>
    <row r="29" customFormat="false" ht="15" hidden="false" customHeight="false" outlineLevel="0" collapsed="false">
      <c r="A29" s="9" t="s">
        <v>32</v>
      </c>
      <c r="B29" s="16" t="n">
        <f aca="false">IF(B27="Yes",B28,0)</f>
        <v>0</v>
      </c>
    </row>
    <row r="30" customFormat="false" ht="15" hidden="false" customHeight="false" outlineLevel="0" collapsed="false">
      <c r="A30" s="5" t="s">
        <v>33</v>
      </c>
      <c r="B30" s="14" t="n">
        <v>25</v>
      </c>
      <c r="C30" s="3" t="s">
        <v>34</v>
      </c>
    </row>
    <row r="31" customFormat="false" ht="15" hidden="false" customHeight="false" outlineLevel="0" collapsed="false">
      <c r="A31" s="5" t="s">
        <v>35</v>
      </c>
      <c r="B31" s="14" t="n">
        <v>60</v>
      </c>
    </row>
    <row r="32" customFormat="false" ht="15" hidden="false" customHeight="false" outlineLevel="0" collapsed="false">
      <c r="A32" s="5" t="s">
        <v>36</v>
      </c>
      <c r="B32" s="14" t="n">
        <v>20</v>
      </c>
    </row>
    <row r="33" customFormat="false" ht="15" hidden="false" customHeight="false" outlineLevel="0" collapsed="false">
      <c r="A33" s="5" t="s">
        <v>37</v>
      </c>
      <c r="B33" s="17" t="n">
        <v>0.0175</v>
      </c>
    </row>
    <row r="35" customFormat="false" ht="15" hidden="false" customHeight="false" outlineLevel="0" collapsed="false">
      <c r="A35" s="4" t="s">
        <v>38</v>
      </c>
      <c r="B35" s="4"/>
      <c r="C35" s="4"/>
    </row>
    <row r="36" customFormat="false" ht="15" hidden="false" customHeight="false" outlineLevel="0" collapsed="false">
      <c r="A36" s="9" t="s">
        <v>39</v>
      </c>
      <c r="B36" s="18" t="n">
        <v>2400</v>
      </c>
      <c r="C36" s="3" t="s">
        <v>40</v>
      </c>
    </row>
    <row r="38" customFormat="false" ht="15" hidden="false" customHeight="false" outlineLevel="0" collapsed="false">
      <c r="A38" s="4" t="s">
        <v>41</v>
      </c>
      <c r="B38" s="4"/>
      <c r="C38" s="4"/>
    </row>
    <row r="39" customFormat="false" ht="15" hidden="false" customHeight="false" outlineLevel="0" collapsed="false">
      <c r="A39" s="5" t="s">
        <v>42</v>
      </c>
      <c r="B39" s="14" t="n">
        <v>100</v>
      </c>
      <c r="C39" s="3" t="s">
        <v>43</v>
      </c>
    </row>
    <row r="40" customFormat="false" ht="15" hidden="false" customHeight="false" outlineLevel="0" collapsed="false">
      <c r="A40" s="5" t="s">
        <v>44</v>
      </c>
      <c r="B40" s="17" t="n">
        <v>0.65</v>
      </c>
    </row>
    <row r="42" customFormat="false" ht="15" hidden="false" customHeight="false" outlineLevel="0" collapsed="false">
      <c r="A42" s="4" t="s">
        <v>45</v>
      </c>
      <c r="B42" s="4"/>
      <c r="C42" s="4"/>
    </row>
    <row r="43" customFormat="false" ht="15" hidden="false" customHeight="false" outlineLevel="0" collapsed="false">
      <c r="A43" s="5" t="s">
        <v>46</v>
      </c>
      <c r="B43" s="16" t="n">
        <f aca="false">B13*B22</f>
        <v>135</v>
      </c>
    </row>
    <row r="44" customFormat="false" ht="15" hidden="false" customHeight="false" outlineLevel="0" collapsed="false">
      <c r="A44" s="5" t="s">
        <v>47</v>
      </c>
      <c r="B44" s="16" t="n">
        <f aca="false">B25</f>
        <v>90</v>
      </c>
    </row>
    <row r="45" customFormat="false" ht="15" hidden="false" customHeight="false" outlineLevel="0" collapsed="false">
      <c r="A45" s="5" t="s">
        <v>48</v>
      </c>
      <c r="B45" s="16" t="n">
        <f aca="false">B26</f>
        <v>60</v>
      </c>
    </row>
    <row r="46" customFormat="false" ht="15" hidden="false" customHeight="false" outlineLevel="0" collapsed="false">
      <c r="A46" s="5" t="s">
        <v>49</v>
      </c>
      <c r="B46" s="16" t="n">
        <f aca="false">B29</f>
        <v>0</v>
      </c>
    </row>
    <row r="47" customFormat="false" ht="15" hidden="false" customHeight="false" outlineLevel="0" collapsed="false">
      <c r="A47" s="5" t="s">
        <v>50</v>
      </c>
      <c r="B47" s="16" t="n">
        <f aca="false">B30</f>
        <v>25</v>
      </c>
    </row>
    <row r="48" customFormat="false" ht="15" hidden="false" customHeight="false" outlineLevel="0" collapsed="false">
      <c r="A48" s="5" t="s">
        <v>51</v>
      </c>
      <c r="B48" s="16" t="n">
        <f aca="false">B31</f>
        <v>60</v>
      </c>
    </row>
    <row r="49" customFormat="false" ht="15" hidden="false" customHeight="false" outlineLevel="0" collapsed="false">
      <c r="A49" s="5" t="s">
        <v>52</v>
      </c>
      <c r="B49" s="16" t="n">
        <f aca="false">B32</f>
        <v>20</v>
      </c>
    </row>
    <row r="50" customFormat="false" ht="15" hidden="false" customHeight="false" outlineLevel="0" collapsed="false">
      <c r="A50" s="5" t="s">
        <v>53</v>
      </c>
      <c r="B50" s="16" t="n">
        <f aca="false">B36*B33</f>
        <v>42</v>
      </c>
    </row>
    <row r="51" customFormat="false" ht="15" hidden="false" customHeight="false" outlineLevel="0" collapsed="false">
      <c r="A51" s="9" t="s">
        <v>54</v>
      </c>
      <c r="B51" s="19" t="n">
        <f aca="false">SUM(B43:B50)</f>
        <v>432</v>
      </c>
    </row>
    <row r="53" customFormat="false" ht="15" hidden="false" customHeight="false" outlineLevel="0" collapsed="false">
      <c r="A53" s="9" t="s">
        <v>55</v>
      </c>
      <c r="B53" s="16" t="n">
        <f aca="false">B36</f>
        <v>2400</v>
      </c>
    </row>
    <row r="54" customFormat="false" ht="15" hidden="false" customHeight="false" outlineLevel="0" collapsed="false">
      <c r="A54" s="9" t="s">
        <v>56</v>
      </c>
      <c r="B54" s="19" t="n">
        <f aca="false">B53-B51</f>
        <v>1968</v>
      </c>
    </row>
    <row r="55" customFormat="false" ht="15" hidden="false" customHeight="false" outlineLevel="0" collapsed="false">
      <c r="A55" s="9" t="s">
        <v>57</v>
      </c>
      <c r="B55" s="20" t="n">
        <f aca="false">B54/B53</f>
        <v>0.82</v>
      </c>
    </row>
    <row r="56" customFormat="false" ht="15" hidden="false" customHeight="false" outlineLevel="0" collapsed="false">
      <c r="A56" s="9" t="s">
        <v>58</v>
      </c>
      <c r="B56" s="19" t="n">
        <f aca="false">B54/B15</f>
        <v>138.105263157895</v>
      </c>
    </row>
    <row r="57" customFormat="false" ht="15" hidden="false" customHeight="false" outlineLevel="0" collapsed="false">
      <c r="A57" s="5" t="s">
        <v>59</v>
      </c>
      <c r="B57" s="13" t="n">
        <f aca="false">B53/B13</f>
        <v>106.666666666667</v>
      </c>
    </row>
    <row r="58" customFormat="false" ht="15" hidden="false" customHeight="false" outlineLevel="0" collapsed="false">
      <c r="A58" s="5" t="s">
        <v>60</v>
      </c>
      <c r="B58" s="13" t="n">
        <f aca="false">B51/B13</f>
        <v>19.2</v>
      </c>
    </row>
    <row r="60" customFormat="false" ht="15" hidden="false" customHeight="false" outlineLevel="0" collapsed="false">
      <c r="A60" s="4" t="s">
        <v>61</v>
      </c>
      <c r="B60" s="4"/>
      <c r="C60" s="4"/>
    </row>
    <row r="61" customFormat="false" ht="15" hidden="false" customHeight="false" outlineLevel="0" collapsed="false">
      <c r="A61" s="5" t="s">
        <v>62</v>
      </c>
      <c r="B61" s="16" t="n">
        <f aca="false">(B39*B15+(B51-B50))/(1-B33)</f>
        <v>1847.32824427481</v>
      </c>
    </row>
    <row r="62" customFormat="false" ht="15" hidden="false" customHeight="false" outlineLevel="0" collapsed="false">
      <c r="A62" s="5" t="s">
        <v>63</v>
      </c>
      <c r="B62" s="16" t="n">
        <f aca="false">(B51-B50)/((1-B33)-B40)</f>
        <v>1172.93233082707</v>
      </c>
    </row>
    <row r="63" customFormat="false" ht="15" hidden="false" customHeight="false" outlineLevel="0" collapsed="false">
      <c r="A63" s="9" t="s">
        <v>64</v>
      </c>
      <c r="B63" s="21" t="n">
        <f aca="false">MAX(B61,B62)</f>
        <v>1847.32824427481</v>
      </c>
      <c r="C63" s="3" t="s">
        <v>65</v>
      </c>
    </row>
  </sheetData>
  <conditionalFormatting sqref="B55">
    <cfRule type="expression" priority="2" aboveAverage="0" equalAverage="0" bottom="0" percent="0" rank="0" text="" dxfId="0">
      <formula>$B$55&gt;=$B$40</formula>
    </cfRule>
    <cfRule type="expression" priority="3" aboveAverage="0" equalAverage="0" bottom="0" percent="0" rank="0" text="" dxfId="1">
      <formula>AND($B$55&lt;$B$40,$B$55&gt;=$B$40-0.1)</formula>
    </cfRule>
    <cfRule type="expression" priority="4" aboveAverage="0" equalAverage="0" bottom="0" percent="0" rank="0" text="" dxfId="2">
      <formula>$B$55&lt;$B$40-0.1</formula>
    </cfRule>
  </conditionalFormatting>
  <conditionalFormatting sqref="B56">
    <cfRule type="expression" priority="5" aboveAverage="0" equalAverage="0" bottom="0" percent="0" rank="0" text="" dxfId="0">
      <formula>$B$56&gt;=$B$39</formula>
    </cfRule>
    <cfRule type="expression" priority="6" aboveAverage="0" equalAverage="0" bottom="0" percent="0" rank="0" text="" dxfId="1">
      <formula>AND($B$56&lt;$B$39,$B$56&gt;=$B$39*0.8)</formula>
    </cfRule>
    <cfRule type="expression" priority="7" aboveAverage="0" equalAverage="0" bottom="0" percent="0" rank="0" text="" dxfId="2">
      <formula>$B$56&lt;$B$39*0.8</formula>
    </cfRule>
  </conditionalFormatting>
  <dataValidations count="1">
    <dataValidation allowBlank="false" errorStyle="stop" operator="between" showDropDown="false" showErrorMessage="false" showInputMessage="false" sqref="B2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18.5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30" hidden="false" customHeight="true" outlineLevel="0" collapsed="false">
      <c r="A4" s="22"/>
      <c r="B4" s="23" t="s">
        <v>68</v>
      </c>
      <c r="C4" s="23" t="s">
        <v>69</v>
      </c>
      <c r="D4" s="23" t="s">
        <v>70</v>
      </c>
    </row>
    <row r="5" customFormat="false" ht="15" hidden="false" customHeight="false" outlineLevel="0" collapsed="false">
      <c r="A5" s="5" t="s">
        <v>71</v>
      </c>
      <c r="B5" s="14" t="n">
        <v>1400</v>
      </c>
      <c r="C5" s="14" t="n">
        <v>1900</v>
      </c>
      <c r="D5" s="14" t="n">
        <v>2800</v>
      </c>
    </row>
    <row r="6" customFormat="false" ht="15" hidden="false" customHeight="false" outlineLevel="0" collapsed="false">
      <c r="A6" s="5" t="s">
        <v>4</v>
      </c>
      <c r="B6" s="6" t="n">
        <v>4</v>
      </c>
      <c r="C6" s="6" t="n">
        <v>5</v>
      </c>
      <c r="D6" s="6" t="n">
        <v>5</v>
      </c>
    </row>
    <row r="7" customFormat="false" ht="15" hidden="false" customHeight="false" outlineLevel="0" collapsed="false">
      <c r="A7" s="5" t="s">
        <v>72</v>
      </c>
      <c r="B7" s="6" t="n">
        <v>4</v>
      </c>
      <c r="C7" s="6" t="n">
        <v>4.5</v>
      </c>
      <c r="D7" s="6" t="n">
        <v>5</v>
      </c>
    </row>
    <row r="8" customFormat="false" ht="15" hidden="false" customHeight="false" outlineLevel="0" collapsed="false">
      <c r="A8" s="9" t="s">
        <v>12</v>
      </c>
      <c r="B8" s="10" t="n">
        <f aca="false">B6*B7</f>
        <v>16</v>
      </c>
      <c r="C8" s="10" t="n">
        <f aca="false">C6*C7</f>
        <v>22.5</v>
      </c>
      <c r="D8" s="10" t="n">
        <f aca="false">D6*D7</f>
        <v>25</v>
      </c>
    </row>
    <row r="9" customFormat="false" ht="15" hidden="false" customHeight="false" outlineLevel="0" collapsed="false">
      <c r="A9" s="5" t="s">
        <v>73</v>
      </c>
      <c r="B9" s="24" t="n">
        <f aca="false">B6+Model!$B$7+(B8*Model!$B$9/60)+Model!$B$10+Model!$B$11</f>
        <v>12.1666666666667</v>
      </c>
      <c r="C9" s="24" t="n">
        <f aca="false">C6+Model!$B$7+(C8*Model!$B$9/60)+Model!$B$10+Model!$B$11</f>
        <v>14.25</v>
      </c>
      <c r="D9" s="24" t="n">
        <f aca="false">D6+Model!$B$7+(D8*Model!$B$9/60)+Model!$B$10+Model!$B$11</f>
        <v>14.6666666666667</v>
      </c>
    </row>
    <row r="10" customFormat="false" ht="15" hidden="false" customHeight="false" outlineLevel="0" collapsed="false">
      <c r="A10" s="5" t="s">
        <v>74</v>
      </c>
      <c r="B10" s="25" t="n">
        <f aca="false">B8*Model!$B$22</f>
        <v>96</v>
      </c>
      <c r="C10" s="25" t="n">
        <f aca="false">C8*Model!$B$22</f>
        <v>135</v>
      </c>
      <c r="D10" s="25" t="n">
        <f aca="false">D8*Model!$B$22</f>
        <v>150</v>
      </c>
    </row>
    <row r="11" customFormat="false" ht="15" hidden="false" customHeight="false" outlineLevel="0" collapsed="false">
      <c r="A11" s="5" t="s">
        <v>75</v>
      </c>
      <c r="B11" s="25" t="n">
        <f aca="false">Model!$B$25+Model!$B$26+Model!$B$29+Model!$B$30+Model!$B$31+Model!$B$32</f>
        <v>255</v>
      </c>
      <c r="C11" s="25" t="n">
        <f aca="false">Model!$B$25+Model!$B$26+Model!$B$29+Model!$B$30+Model!$B$31+Model!$B$32</f>
        <v>255</v>
      </c>
      <c r="D11" s="25" t="n">
        <f aca="false">Model!$B$25+Model!$B$26+Model!$B$29+Model!$B$30+Model!$B$31+Model!$B$32</f>
        <v>255</v>
      </c>
    </row>
    <row r="12" customFormat="false" ht="15" hidden="false" customHeight="false" outlineLevel="0" collapsed="false">
      <c r="A12" s="5" t="s">
        <v>53</v>
      </c>
      <c r="B12" s="25" t="n">
        <f aca="false">B5*Model!$B$33</f>
        <v>24.5</v>
      </c>
      <c r="C12" s="25" t="n">
        <f aca="false">C5*Model!$B$33</f>
        <v>33.25</v>
      </c>
      <c r="D12" s="25" t="n">
        <f aca="false">D5*Model!$B$33</f>
        <v>49</v>
      </c>
    </row>
    <row r="13" customFormat="false" ht="15" hidden="false" customHeight="false" outlineLevel="0" collapsed="false">
      <c r="A13" s="9" t="s">
        <v>54</v>
      </c>
      <c r="B13" s="16" t="n">
        <f aca="false">B10+B11+B12</f>
        <v>375.5</v>
      </c>
      <c r="C13" s="16" t="n">
        <f aca="false">C10+C11+C12</f>
        <v>423.25</v>
      </c>
      <c r="D13" s="16" t="n">
        <f aca="false">D10+D11+D12</f>
        <v>454</v>
      </c>
    </row>
    <row r="14" customFormat="false" ht="15" hidden="false" customHeight="false" outlineLevel="0" collapsed="false">
      <c r="A14" s="9" t="s">
        <v>56</v>
      </c>
      <c r="B14" s="16" t="n">
        <f aca="false">B5-B13</f>
        <v>1024.5</v>
      </c>
      <c r="C14" s="16" t="n">
        <f aca="false">C5-C13</f>
        <v>1476.75</v>
      </c>
      <c r="D14" s="16" t="n">
        <f aca="false">D5-D13</f>
        <v>2346</v>
      </c>
    </row>
    <row r="15" customFormat="false" ht="15" hidden="false" customHeight="false" outlineLevel="0" collapsed="false">
      <c r="A15" s="9" t="s">
        <v>57</v>
      </c>
      <c r="B15" s="26" t="n">
        <f aca="false">B14/B5</f>
        <v>0.731785714285714</v>
      </c>
      <c r="C15" s="26" t="n">
        <f aca="false">C14/C5</f>
        <v>0.777236842105263</v>
      </c>
      <c r="D15" s="26" t="n">
        <f aca="false">D14/D5</f>
        <v>0.837857142857143</v>
      </c>
    </row>
    <row r="16" customFormat="false" ht="15" hidden="false" customHeight="false" outlineLevel="0" collapsed="false">
      <c r="A16" s="9" t="s">
        <v>76</v>
      </c>
      <c r="B16" s="16" t="n">
        <f aca="false">B14/B9</f>
        <v>84.2054794520548</v>
      </c>
      <c r="C16" s="16" t="n">
        <f aca="false">C14/C9</f>
        <v>103.631578947368</v>
      </c>
      <c r="D16" s="16" t="n">
        <f aca="false">D14/D9</f>
        <v>159.954545454545</v>
      </c>
    </row>
    <row r="17" customFormat="false" ht="15" hidden="false" customHeight="false" outlineLevel="0" collapsed="false">
      <c r="A17" s="5" t="s">
        <v>59</v>
      </c>
      <c r="B17" s="13" t="n">
        <f aca="false">B5/B8</f>
        <v>87.5</v>
      </c>
      <c r="C17" s="13" t="n">
        <f aca="false">C5/C8</f>
        <v>84.4444444444444</v>
      </c>
      <c r="D17" s="13" t="n">
        <f aca="false">D5/D8</f>
        <v>112</v>
      </c>
    </row>
    <row r="19" customFormat="false" ht="15" hidden="false" customHeight="false" outlineLevel="0" collapsed="false">
      <c r="A19" s="3" t="s">
        <v>77</v>
      </c>
    </row>
  </sheetData>
  <conditionalFormatting sqref="B15">
    <cfRule type="expression" priority="2" aboveAverage="0" equalAverage="0" bottom="0" percent="0" rank="0" text="" dxfId="0">
      <formula>B15&gt;=Model!$B$40</formula>
    </cfRule>
    <cfRule type="expression" priority="3" aboveAverage="0" equalAverage="0" bottom="0" percent="0" rank="0" text="" dxfId="1">
      <formula>AND(B15&lt;Model!$B$40,B15&gt;=Model!$B$40-0.1)</formula>
    </cfRule>
    <cfRule type="expression" priority="4" aboveAverage="0" equalAverage="0" bottom="0" percent="0" rank="0" text="" dxfId="2">
      <formula>B15&lt;Model!$B$40-0.1</formula>
    </cfRule>
  </conditionalFormatting>
  <conditionalFormatting sqref="B16">
    <cfRule type="expression" priority="5" aboveAverage="0" equalAverage="0" bottom="0" percent="0" rank="0" text="" dxfId="0">
      <formula>B16&gt;=Model!$B$39</formula>
    </cfRule>
    <cfRule type="expression" priority="6" aboveAverage="0" equalAverage="0" bottom="0" percent="0" rank="0" text="" dxfId="1">
      <formula>AND(B16&lt;Model!$B$39,B16&gt;=Model!$B$39*0.8)</formula>
    </cfRule>
    <cfRule type="expression" priority="7" aboveAverage="0" equalAverage="0" bottom="0" percent="0" rank="0" text="" dxfId="2">
      <formula>B16&lt;Model!$B$39*0.8</formula>
    </cfRule>
  </conditionalFormatting>
  <conditionalFormatting sqref="C15">
    <cfRule type="expression" priority="8" aboveAverage="0" equalAverage="0" bottom="0" percent="0" rank="0" text="" dxfId="0">
      <formula>C15&gt;=Model!$B$40</formula>
    </cfRule>
    <cfRule type="expression" priority="9" aboveAverage="0" equalAverage="0" bottom="0" percent="0" rank="0" text="" dxfId="1">
      <formula>AND(C15&lt;Model!$B$40,C15&gt;=Model!$B$40-0.1)</formula>
    </cfRule>
    <cfRule type="expression" priority="10" aboveAverage="0" equalAverage="0" bottom="0" percent="0" rank="0" text="" dxfId="2">
      <formula>C15&lt;Model!$B$40-0.1</formula>
    </cfRule>
  </conditionalFormatting>
  <conditionalFormatting sqref="C16">
    <cfRule type="expression" priority="11" aboveAverage="0" equalAverage="0" bottom="0" percent="0" rank="0" text="" dxfId="0">
      <formula>C16&gt;=Model!$B$39</formula>
    </cfRule>
    <cfRule type="expression" priority="12" aboveAverage="0" equalAverage="0" bottom="0" percent="0" rank="0" text="" dxfId="1">
      <formula>AND(C16&lt;Model!$B$39,C16&gt;=Model!$B$39*0.8)</formula>
    </cfRule>
    <cfRule type="expression" priority="13" aboveAverage="0" equalAverage="0" bottom="0" percent="0" rank="0" text="" dxfId="2">
      <formula>C16&lt;Model!$B$39*0.8</formula>
    </cfRule>
  </conditionalFormatting>
  <conditionalFormatting sqref="D15">
    <cfRule type="expression" priority="14" aboveAverage="0" equalAverage="0" bottom="0" percent="0" rank="0" text="" dxfId="0">
      <formula>D15&gt;=Model!$B$40</formula>
    </cfRule>
    <cfRule type="expression" priority="15" aboveAverage="0" equalAverage="0" bottom="0" percent="0" rank="0" text="" dxfId="1">
      <formula>AND(D15&lt;Model!$B$40,D15&gt;=Model!$B$40-0.1)</formula>
    </cfRule>
    <cfRule type="expression" priority="16" aboveAverage="0" equalAverage="0" bottom="0" percent="0" rank="0" text="" dxfId="2">
      <formula>D15&lt;Model!$B$40-0.1</formula>
    </cfRule>
  </conditionalFormatting>
  <conditionalFormatting sqref="D16">
    <cfRule type="expression" priority="17" aboveAverage="0" equalAverage="0" bottom="0" percent="0" rank="0" text="" dxfId="0">
      <formula>D16&gt;=Model!$B$39</formula>
    </cfRule>
    <cfRule type="expression" priority="18" aboveAverage="0" equalAverage="0" bottom="0" percent="0" rank="0" text="" dxfId="1">
      <formula>AND(D16&lt;Model!$B$39,D16&gt;=Model!$B$39*0.8)</formula>
    </cfRule>
    <cfRule type="expression" priority="19" aboveAverage="0" equalAverage="0" bottom="0" percent="0" rank="0" text="" dxfId="2">
      <formula>D16&lt;Model!$B$39*0.8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46"/>
  </cols>
  <sheetData>
    <row r="1" customFormat="false" ht="18.5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25.5" hidden="false" customHeight="true" outlineLevel="0" collapsed="false">
      <c r="A4" s="27" t="s">
        <v>80</v>
      </c>
      <c r="B4" s="27" t="s">
        <v>81</v>
      </c>
      <c r="C4" s="27" t="s">
        <v>82</v>
      </c>
      <c r="D4" s="27" t="s">
        <v>83</v>
      </c>
      <c r="E4" s="27" t="s">
        <v>84</v>
      </c>
      <c r="F4" s="27" t="s">
        <v>85</v>
      </c>
    </row>
    <row r="5" customFormat="false" ht="22.35" hidden="false" customHeight="false" outlineLevel="0" collapsed="false">
      <c r="A5" s="28" t="s">
        <v>86</v>
      </c>
      <c r="B5" s="28" t="s">
        <v>87</v>
      </c>
      <c r="C5" s="28" t="s">
        <v>88</v>
      </c>
      <c r="D5" s="28" t="s">
        <v>89</v>
      </c>
      <c r="E5" s="28" t="s">
        <v>90</v>
      </c>
      <c r="F5" s="28" t="s">
        <v>91</v>
      </c>
    </row>
    <row r="6" customFormat="false" ht="15" hidden="false" customHeight="false" outlineLevel="0" collapsed="false">
      <c r="A6" s="28" t="s">
        <v>92</v>
      </c>
      <c r="B6" s="28" t="s">
        <v>93</v>
      </c>
      <c r="C6" s="28" t="s">
        <v>94</v>
      </c>
      <c r="D6" s="28" t="s">
        <v>95</v>
      </c>
      <c r="E6" s="28" t="s">
        <v>96</v>
      </c>
      <c r="F6" s="28" t="s">
        <v>97</v>
      </c>
    </row>
    <row r="7" customFormat="false" ht="22.35" hidden="false" customHeight="false" outlineLevel="0" collapsed="false">
      <c r="A7" s="28" t="s">
        <v>98</v>
      </c>
      <c r="B7" s="28" t="s">
        <v>93</v>
      </c>
      <c r="C7" s="28" t="s">
        <v>99</v>
      </c>
      <c r="D7" s="28" t="s">
        <v>100</v>
      </c>
      <c r="E7" s="28" t="s">
        <v>101</v>
      </c>
      <c r="F7" s="28" t="s">
        <v>102</v>
      </c>
    </row>
    <row r="8" customFormat="false" ht="15" hidden="false" customHeight="false" outlineLevel="0" collapsed="false">
      <c r="A8" s="28" t="s">
        <v>103</v>
      </c>
      <c r="B8" s="28" t="s">
        <v>93</v>
      </c>
      <c r="C8" s="28" t="s">
        <v>104</v>
      </c>
      <c r="D8" s="28" t="s">
        <v>105</v>
      </c>
      <c r="E8" s="28" t="s">
        <v>106</v>
      </c>
      <c r="F8" s="28" t="s">
        <v>107</v>
      </c>
    </row>
    <row r="9" customFormat="false" ht="15" hidden="false" customHeight="false" outlineLevel="0" collapsed="false">
      <c r="A9" s="28" t="s">
        <v>108</v>
      </c>
      <c r="B9" s="28" t="s">
        <v>93</v>
      </c>
      <c r="C9" s="28" t="s">
        <v>109</v>
      </c>
      <c r="D9" s="28" t="s">
        <v>110</v>
      </c>
      <c r="E9" s="28" t="s">
        <v>111</v>
      </c>
      <c r="F9" s="28" t="s">
        <v>112</v>
      </c>
    </row>
    <row r="10" customFormat="false" ht="22.35" hidden="false" customHeight="false" outlineLevel="0" collapsed="false">
      <c r="A10" s="28" t="s">
        <v>113</v>
      </c>
      <c r="B10" s="28" t="s">
        <v>93</v>
      </c>
      <c r="C10" s="28" t="s">
        <v>99</v>
      </c>
      <c r="D10" s="28" t="s">
        <v>114</v>
      </c>
      <c r="E10" s="28" t="s">
        <v>115</v>
      </c>
      <c r="F10" s="28" t="s">
        <v>116</v>
      </c>
    </row>
    <row r="11" customFormat="false" ht="15" hidden="false" customHeight="false" outlineLevel="0" collapsed="false">
      <c r="A11" s="28" t="s">
        <v>117</v>
      </c>
      <c r="B11" s="28" t="s">
        <v>93</v>
      </c>
      <c r="C11" s="28" t="s">
        <v>118</v>
      </c>
      <c r="D11" s="28" t="s">
        <v>89</v>
      </c>
      <c r="E11" s="28" t="s">
        <v>119</v>
      </c>
      <c r="F11" s="28" t="s">
        <v>120</v>
      </c>
    </row>
    <row r="12" customFormat="false" ht="15" hidden="false" customHeight="false" outlineLevel="0" collapsed="false">
      <c r="A12" s="28" t="s">
        <v>121</v>
      </c>
      <c r="B12" s="28" t="s">
        <v>122</v>
      </c>
      <c r="C12" s="28" t="s">
        <v>123</v>
      </c>
      <c r="D12" s="28" t="s">
        <v>124</v>
      </c>
      <c r="E12" s="28" t="s">
        <v>125</v>
      </c>
      <c r="F12" s="28" t="s">
        <v>126</v>
      </c>
    </row>
    <row r="13" customFormat="false" ht="15" hidden="false" customHeight="false" outlineLevel="0" collapsed="false">
      <c r="A13" s="28" t="s">
        <v>127</v>
      </c>
      <c r="B13" s="28" t="s">
        <v>93</v>
      </c>
      <c r="C13" s="28" t="s">
        <v>128</v>
      </c>
      <c r="D13" s="28" t="s">
        <v>129</v>
      </c>
      <c r="E13" s="28" t="s">
        <v>130</v>
      </c>
      <c r="F13" s="28" t="s">
        <v>131</v>
      </c>
    </row>
    <row r="14" customFormat="false" ht="22.35" hidden="false" customHeight="false" outlineLevel="0" collapsed="false">
      <c r="A14" s="28" t="s">
        <v>132</v>
      </c>
      <c r="B14" s="28" t="s">
        <v>133</v>
      </c>
      <c r="C14" s="28" t="s">
        <v>134</v>
      </c>
      <c r="D14" s="28" t="s">
        <v>135</v>
      </c>
      <c r="E14" s="28" t="s">
        <v>136</v>
      </c>
      <c r="F14" s="28" t="s">
        <v>137</v>
      </c>
    </row>
    <row r="15" customFormat="false" ht="22.35" hidden="false" customHeight="false" outlineLevel="0" collapsed="false">
      <c r="A15" s="28" t="s">
        <v>138</v>
      </c>
      <c r="B15" s="28" t="s">
        <v>139</v>
      </c>
      <c r="C15" s="28" t="s">
        <v>140</v>
      </c>
      <c r="D15" s="28" t="s">
        <v>141</v>
      </c>
      <c r="E15" s="28" t="s">
        <v>142</v>
      </c>
      <c r="F15" s="28" t="s">
        <v>138</v>
      </c>
    </row>
    <row r="16" customFormat="false" ht="15" hidden="false" customHeight="false" outlineLevel="0" collapsed="false">
      <c r="A16" s="28" t="s">
        <v>143</v>
      </c>
      <c r="B16" s="28" t="s">
        <v>139</v>
      </c>
      <c r="C16" s="28" t="s">
        <v>144</v>
      </c>
      <c r="D16" s="28" t="s">
        <v>145</v>
      </c>
      <c r="E16" s="28" t="s">
        <v>146</v>
      </c>
      <c r="F16" s="28" t="s">
        <v>147</v>
      </c>
    </row>
    <row r="17" customFormat="false" ht="22.35" hidden="false" customHeight="false" outlineLevel="0" collapsed="false">
      <c r="A17" s="28" t="s">
        <v>148</v>
      </c>
      <c r="B17" s="28" t="s">
        <v>149</v>
      </c>
      <c r="C17" s="28" t="s">
        <v>134</v>
      </c>
      <c r="D17" s="28" t="s">
        <v>150</v>
      </c>
      <c r="E17" s="28" t="s">
        <v>151</v>
      </c>
      <c r="F17" s="28" t="s">
        <v>152</v>
      </c>
    </row>
    <row r="19" customFormat="false" ht="15" hidden="false" customHeight="false" outlineLevel="0" collapsed="false">
      <c r="A19" s="3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2026-06-21T08:14:06Z</dcterms:created>
  <dc:creator/>
  <dc:description>Cost base, per-piece and per-wedding pricing, and launch-to-target scenarios.</dc:description>
  <dc:language>en-US</dc:language>
  <cp:lastModifiedBy/>
  <dcterms:modified xsi:type="dcterms:W3CDTF">2026-06-21T08:14:06Z</dcterms:modified>
  <cp:revision>0</cp:revision>
  <dc:subject/>
  <dc:title>Live wedding watercolour — cost &amp; pricing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